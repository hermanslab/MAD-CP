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filterPrivacy="1"/>
  <xr:revisionPtr revIDLastSave="0" documentId="13_ncr:1_{A6727B4D-5955-D34B-87F9-A884AAB39489}" xr6:coauthVersionLast="47" xr6:coauthVersionMax="47" xr10:uidLastSave="{00000000-0000-0000-0000-000000000000}"/>
  <bookViews>
    <workbookView xWindow="8520" yWindow="6100" windowWidth="34760" windowHeight="21280" activeTab="2" xr2:uid="{00000000-000D-0000-FFFF-FFFF00000000}"/>
  </bookViews>
  <sheets>
    <sheet name="AS239C" sheetId="1" r:id="rId1"/>
    <sheet name="AS239AB" sheetId="5" r:id="rId2"/>
    <sheet name="all data" sheetId="6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4" i="6" l="1"/>
  <c r="AH104" i="6" s="1"/>
  <c r="X104" i="6"/>
  <c r="AG104" i="6" s="1"/>
  <c r="W104" i="6"/>
  <c r="AF104" i="6" s="1"/>
  <c r="V104" i="6"/>
  <c r="AE104" i="6" s="1"/>
  <c r="U104" i="6"/>
  <c r="AD104" i="6" s="1"/>
  <c r="T104" i="6"/>
  <c r="AC104" i="6" s="1"/>
  <c r="S104" i="6"/>
  <c r="AB104" i="6" s="1"/>
  <c r="R104" i="6"/>
  <c r="AA104" i="6" s="1"/>
  <c r="Q104" i="6"/>
  <c r="P104" i="6"/>
  <c r="AH103" i="6"/>
  <c r="AG103" i="6"/>
  <c r="Y103" i="6"/>
  <c r="X103" i="6"/>
  <c r="W103" i="6"/>
  <c r="AF103" i="6" s="1"/>
  <c r="V103" i="6"/>
  <c r="AE103" i="6" s="1"/>
  <c r="U103" i="6"/>
  <c r="AD103" i="6" s="1"/>
  <c r="T103" i="6"/>
  <c r="AC103" i="6" s="1"/>
  <c r="S103" i="6"/>
  <c r="AB103" i="6" s="1"/>
  <c r="R103" i="6"/>
  <c r="AA103" i="6" s="1"/>
  <c r="Q103" i="6"/>
  <c r="P103" i="6"/>
  <c r="Y102" i="6"/>
  <c r="AH102" i="6" s="1"/>
  <c r="X102" i="6"/>
  <c r="AG102" i="6" s="1"/>
  <c r="W102" i="6"/>
  <c r="AF102" i="6" s="1"/>
  <c r="V102" i="6"/>
  <c r="AE102" i="6" s="1"/>
  <c r="U102" i="6"/>
  <c r="AD102" i="6" s="1"/>
  <c r="T102" i="6"/>
  <c r="AC102" i="6" s="1"/>
  <c r="S102" i="6"/>
  <c r="AB102" i="6" s="1"/>
  <c r="R102" i="6"/>
  <c r="AA102" i="6" s="1"/>
  <c r="Q102" i="6"/>
  <c r="P102" i="6"/>
  <c r="AB101" i="6"/>
  <c r="AA101" i="6"/>
  <c r="Y101" i="6"/>
  <c r="AH101" i="6" s="1"/>
  <c r="X101" i="6"/>
  <c r="AG101" i="6" s="1"/>
  <c r="W101" i="6"/>
  <c r="AF101" i="6" s="1"/>
  <c r="V101" i="6"/>
  <c r="AE101" i="6" s="1"/>
  <c r="U101" i="6"/>
  <c r="AD101" i="6" s="1"/>
  <c r="T101" i="6"/>
  <c r="AC101" i="6" s="1"/>
  <c r="S101" i="6"/>
  <c r="R101" i="6"/>
  <c r="Q101" i="6"/>
  <c r="P101" i="6"/>
  <c r="AD100" i="6"/>
  <c r="AC100" i="6"/>
  <c r="AB100" i="6"/>
  <c r="AA100" i="6"/>
  <c r="Y100" i="6"/>
  <c r="AH100" i="6" s="1"/>
  <c r="X100" i="6"/>
  <c r="AG100" i="6" s="1"/>
  <c r="W100" i="6"/>
  <c r="AF100" i="6" s="1"/>
  <c r="V100" i="6"/>
  <c r="AE100" i="6" s="1"/>
  <c r="U100" i="6"/>
  <c r="T100" i="6"/>
  <c r="S100" i="6"/>
  <c r="R100" i="6"/>
  <c r="Q100" i="6"/>
  <c r="P100" i="6"/>
  <c r="AF99" i="6"/>
  <c r="AE99" i="6"/>
  <c r="AD99" i="6"/>
  <c r="AC99" i="6"/>
  <c r="AB99" i="6"/>
  <c r="AA99" i="6"/>
  <c r="Y99" i="6"/>
  <c r="AH99" i="6" s="1"/>
  <c r="X99" i="6"/>
  <c r="AG99" i="6" s="1"/>
  <c r="W99" i="6"/>
  <c r="V99" i="6"/>
  <c r="U99" i="6"/>
  <c r="T99" i="6"/>
  <c r="S99" i="6"/>
  <c r="R99" i="6"/>
  <c r="Q99" i="6"/>
  <c r="P99" i="6"/>
  <c r="AH98" i="6"/>
  <c r="AG98" i="6"/>
  <c r="AF98" i="6"/>
  <c r="AE98" i="6"/>
  <c r="AD98" i="6"/>
  <c r="AC98" i="6"/>
  <c r="AB98" i="6"/>
  <c r="AA98" i="6"/>
  <c r="Y98" i="6"/>
  <c r="X98" i="6"/>
  <c r="W98" i="6"/>
  <c r="V98" i="6"/>
  <c r="U98" i="6"/>
  <c r="T98" i="6"/>
  <c r="S98" i="6"/>
  <c r="R98" i="6"/>
  <c r="Q98" i="6"/>
  <c r="P98" i="6"/>
  <c r="AH97" i="6"/>
  <c r="AG97" i="6"/>
  <c r="AF97" i="6"/>
  <c r="AE97" i="6"/>
  <c r="AD97" i="6"/>
  <c r="AC97" i="6"/>
  <c r="Y97" i="6"/>
  <c r="X97" i="6"/>
  <c r="W97" i="6"/>
  <c r="V97" i="6"/>
  <c r="U97" i="6"/>
  <c r="T97" i="6"/>
  <c r="S97" i="6"/>
  <c r="AB97" i="6" s="1"/>
  <c r="R97" i="6"/>
  <c r="AA97" i="6" s="1"/>
  <c r="Q97" i="6"/>
  <c r="P97" i="6"/>
  <c r="AH96" i="6"/>
  <c r="AG96" i="6"/>
  <c r="AF96" i="6"/>
  <c r="AE96" i="6"/>
  <c r="Y96" i="6"/>
  <c r="X96" i="6"/>
  <c r="W96" i="6"/>
  <c r="V96" i="6"/>
  <c r="U96" i="6"/>
  <c r="AD96" i="6" s="1"/>
  <c r="T96" i="6"/>
  <c r="AC96" i="6" s="1"/>
  <c r="S96" i="6"/>
  <c r="AB96" i="6" s="1"/>
  <c r="R96" i="6"/>
  <c r="AA96" i="6" s="1"/>
  <c r="Q96" i="6"/>
  <c r="P96" i="6"/>
  <c r="AH95" i="6"/>
  <c r="AG95" i="6"/>
  <c r="Y95" i="6"/>
  <c r="X95" i="6"/>
  <c r="W95" i="6"/>
  <c r="AF95" i="6" s="1"/>
  <c r="V95" i="6"/>
  <c r="AE95" i="6" s="1"/>
  <c r="U95" i="6"/>
  <c r="AD95" i="6" s="1"/>
  <c r="T95" i="6"/>
  <c r="AC95" i="6" s="1"/>
  <c r="S95" i="6"/>
  <c r="AB95" i="6" s="1"/>
  <c r="R95" i="6"/>
  <c r="AA95" i="6" s="1"/>
  <c r="Q95" i="6"/>
  <c r="P95" i="6"/>
  <c r="Y94" i="6"/>
  <c r="AH94" i="6" s="1"/>
  <c r="X94" i="6"/>
  <c r="AG94" i="6" s="1"/>
  <c r="W94" i="6"/>
  <c r="AF94" i="6" s="1"/>
  <c r="V94" i="6"/>
  <c r="AE94" i="6" s="1"/>
  <c r="U94" i="6"/>
  <c r="AD94" i="6" s="1"/>
  <c r="T94" i="6"/>
  <c r="AC94" i="6" s="1"/>
  <c r="S94" i="6"/>
  <c r="AB94" i="6" s="1"/>
  <c r="R94" i="6"/>
  <c r="AA94" i="6" s="1"/>
  <c r="Q94" i="6"/>
  <c r="P94" i="6"/>
  <c r="AB93" i="6"/>
  <c r="AA93" i="6"/>
  <c r="Y93" i="6"/>
  <c r="AH93" i="6" s="1"/>
  <c r="X93" i="6"/>
  <c r="AG93" i="6" s="1"/>
  <c r="W93" i="6"/>
  <c r="AF93" i="6" s="1"/>
  <c r="V93" i="6"/>
  <c r="AE93" i="6" s="1"/>
  <c r="U93" i="6"/>
  <c r="AD93" i="6" s="1"/>
  <c r="T93" i="6"/>
  <c r="AC93" i="6" s="1"/>
  <c r="S93" i="6"/>
  <c r="R93" i="6"/>
  <c r="Q93" i="6"/>
  <c r="P93" i="6"/>
  <c r="AD92" i="6"/>
  <c r="AC92" i="6"/>
  <c r="AB92" i="6"/>
  <c r="AA92" i="6"/>
  <c r="Y92" i="6"/>
  <c r="AH92" i="6" s="1"/>
  <c r="X92" i="6"/>
  <c r="AG92" i="6" s="1"/>
  <c r="W92" i="6"/>
  <c r="AF92" i="6" s="1"/>
  <c r="V92" i="6"/>
  <c r="AE92" i="6" s="1"/>
  <c r="U92" i="6"/>
  <c r="T92" i="6"/>
  <c r="S92" i="6"/>
  <c r="R92" i="6"/>
  <c r="Q92" i="6"/>
  <c r="P92" i="6"/>
  <c r="AF91" i="6"/>
  <c r="AE91" i="6"/>
  <c r="AD91" i="6"/>
  <c r="AC91" i="6"/>
  <c r="AB91" i="6"/>
  <c r="AA91" i="6"/>
  <c r="Y91" i="6"/>
  <c r="AH91" i="6" s="1"/>
  <c r="X91" i="6"/>
  <c r="AG91" i="6" s="1"/>
  <c r="W91" i="6"/>
  <c r="V91" i="6"/>
  <c r="U91" i="6"/>
  <c r="T91" i="6"/>
  <c r="S91" i="6"/>
  <c r="R91" i="6"/>
  <c r="Q91" i="6"/>
  <c r="P91" i="6"/>
  <c r="AH90" i="6"/>
  <c r="AG90" i="6"/>
  <c r="AF90" i="6"/>
  <c r="AE90" i="6"/>
  <c r="AD90" i="6"/>
  <c r="AC90" i="6"/>
  <c r="AB90" i="6"/>
  <c r="AA90" i="6"/>
  <c r="Y90" i="6"/>
  <c r="X90" i="6"/>
  <c r="W90" i="6"/>
  <c r="V90" i="6"/>
  <c r="U90" i="6"/>
  <c r="T90" i="6"/>
  <c r="S90" i="6"/>
  <c r="R90" i="6"/>
  <c r="Q90" i="6"/>
  <c r="P90" i="6"/>
  <c r="AH89" i="6"/>
  <c r="AG89" i="6"/>
  <c r="AF89" i="6"/>
  <c r="AE89" i="6"/>
  <c r="AD89" i="6"/>
  <c r="AC89" i="6"/>
  <c r="Y89" i="6"/>
  <c r="X89" i="6"/>
  <c r="W89" i="6"/>
  <c r="V89" i="6"/>
  <c r="U89" i="6"/>
  <c r="T89" i="6"/>
  <c r="S89" i="6"/>
  <c r="AB89" i="6" s="1"/>
  <c r="R89" i="6"/>
  <c r="AA89" i="6" s="1"/>
  <c r="Q89" i="6"/>
  <c r="P89" i="6"/>
  <c r="AH88" i="6"/>
  <c r="AG88" i="6"/>
  <c r="AF88" i="6"/>
  <c r="AE88" i="6"/>
  <c r="Y88" i="6"/>
  <c r="X88" i="6"/>
  <c r="W88" i="6"/>
  <c r="V88" i="6"/>
  <c r="U88" i="6"/>
  <c r="AD88" i="6" s="1"/>
  <c r="T88" i="6"/>
  <c r="AC88" i="6" s="1"/>
  <c r="S88" i="6"/>
  <c r="AB88" i="6" s="1"/>
  <c r="R88" i="6"/>
  <c r="AA88" i="6" s="1"/>
  <c r="Q88" i="6"/>
  <c r="P88" i="6"/>
  <c r="AH87" i="6"/>
  <c r="AG87" i="6"/>
  <c r="Y87" i="6"/>
  <c r="X87" i="6"/>
  <c r="W87" i="6"/>
  <c r="AF87" i="6" s="1"/>
  <c r="V87" i="6"/>
  <c r="AE87" i="6" s="1"/>
  <c r="U87" i="6"/>
  <c r="AD87" i="6" s="1"/>
  <c r="T87" i="6"/>
  <c r="AC87" i="6" s="1"/>
  <c r="S87" i="6"/>
  <c r="AB87" i="6" s="1"/>
  <c r="R87" i="6"/>
  <c r="AA87" i="6" s="1"/>
  <c r="Q87" i="6"/>
  <c r="P87" i="6"/>
  <c r="Y86" i="6"/>
  <c r="AH86" i="6" s="1"/>
  <c r="X86" i="6"/>
  <c r="AG86" i="6" s="1"/>
  <c r="W86" i="6"/>
  <c r="AF86" i="6" s="1"/>
  <c r="V86" i="6"/>
  <c r="AE86" i="6" s="1"/>
  <c r="U86" i="6"/>
  <c r="AD86" i="6" s="1"/>
  <c r="T86" i="6"/>
  <c r="AC86" i="6" s="1"/>
  <c r="S86" i="6"/>
  <c r="AB86" i="6" s="1"/>
  <c r="R86" i="6"/>
  <c r="AA86" i="6" s="1"/>
  <c r="Q86" i="6"/>
  <c r="P86" i="6"/>
  <c r="AB85" i="6"/>
  <c r="AA85" i="6"/>
  <c r="Y85" i="6"/>
  <c r="AH85" i="6" s="1"/>
  <c r="X85" i="6"/>
  <c r="AG85" i="6" s="1"/>
  <c r="W85" i="6"/>
  <c r="AF85" i="6" s="1"/>
  <c r="V85" i="6"/>
  <c r="AE85" i="6" s="1"/>
  <c r="U85" i="6"/>
  <c r="AD85" i="6" s="1"/>
  <c r="T85" i="6"/>
  <c r="AC85" i="6" s="1"/>
  <c r="S85" i="6"/>
  <c r="R85" i="6"/>
  <c r="Q85" i="6"/>
  <c r="P85" i="6"/>
  <c r="AD84" i="6"/>
  <c r="AC84" i="6"/>
  <c r="AB84" i="6"/>
  <c r="AA84" i="6"/>
  <c r="Y84" i="6"/>
  <c r="AH84" i="6" s="1"/>
  <c r="X84" i="6"/>
  <c r="AG84" i="6" s="1"/>
  <c r="W84" i="6"/>
  <c r="AF84" i="6" s="1"/>
  <c r="V84" i="6"/>
  <c r="AE84" i="6" s="1"/>
  <c r="U84" i="6"/>
  <c r="T84" i="6"/>
  <c r="S84" i="6"/>
  <c r="R84" i="6"/>
  <c r="Q84" i="6"/>
  <c r="P84" i="6"/>
  <c r="AF83" i="6"/>
  <c r="AE83" i="6"/>
  <c r="AD83" i="6"/>
  <c r="AC83" i="6"/>
  <c r="AB83" i="6"/>
  <c r="AA83" i="6"/>
  <c r="Y83" i="6"/>
  <c r="AH83" i="6" s="1"/>
  <c r="X83" i="6"/>
  <c r="AG83" i="6" s="1"/>
  <c r="W83" i="6"/>
  <c r="V83" i="6"/>
  <c r="U83" i="6"/>
  <c r="T83" i="6"/>
  <c r="S83" i="6"/>
  <c r="R83" i="6"/>
  <c r="Q83" i="6"/>
  <c r="P83" i="6"/>
  <c r="AH82" i="6"/>
  <c r="AG82" i="6"/>
  <c r="AF82" i="6"/>
  <c r="AE82" i="6"/>
  <c r="AD82" i="6"/>
  <c r="AC82" i="6"/>
  <c r="AB82" i="6"/>
  <c r="AA82" i="6"/>
  <c r="Y82" i="6"/>
  <c r="X82" i="6"/>
  <c r="W82" i="6"/>
  <c r="V82" i="6"/>
  <c r="U82" i="6"/>
  <c r="T82" i="6"/>
  <c r="S82" i="6"/>
  <c r="R82" i="6"/>
  <c r="Q82" i="6"/>
  <c r="P82" i="6"/>
  <c r="AH81" i="6"/>
  <c r="AG81" i="6"/>
  <c r="AF81" i="6"/>
  <c r="AE81" i="6"/>
  <c r="AD81" i="6"/>
  <c r="AC81" i="6"/>
  <c r="Y81" i="6"/>
  <c r="X81" i="6"/>
  <c r="W81" i="6"/>
  <c r="V81" i="6"/>
  <c r="U81" i="6"/>
  <c r="T81" i="6"/>
  <c r="S81" i="6"/>
  <c r="AB81" i="6" s="1"/>
  <c r="R81" i="6"/>
  <c r="AA81" i="6" s="1"/>
  <c r="Q81" i="6"/>
  <c r="P81" i="6"/>
  <c r="AG80" i="6"/>
  <c r="AF80" i="6"/>
  <c r="AE80" i="6"/>
  <c r="Y80" i="6"/>
  <c r="AH80" i="6" s="1"/>
  <c r="X80" i="6"/>
  <c r="W80" i="6"/>
  <c r="V80" i="6"/>
  <c r="U80" i="6"/>
  <c r="AD80" i="6" s="1"/>
  <c r="T80" i="6"/>
  <c r="AC80" i="6" s="1"/>
  <c r="S80" i="6"/>
  <c r="AB80" i="6" s="1"/>
  <c r="R80" i="6"/>
  <c r="AA80" i="6" s="1"/>
  <c r="Q80" i="6"/>
  <c r="P80" i="6"/>
  <c r="AH79" i="6"/>
  <c r="AG79" i="6"/>
  <c r="Y79" i="6"/>
  <c r="X79" i="6"/>
  <c r="W79" i="6"/>
  <c r="AF79" i="6" s="1"/>
  <c r="V79" i="6"/>
  <c r="AE79" i="6" s="1"/>
  <c r="U79" i="6"/>
  <c r="AD79" i="6" s="1"/>
  <c r="T79" i="6"/>
  <c r="AC79" i="6" s="1"/>
  <c r="S79" i="6"/>
  <c r="AB79" i="6" s="1"/>
  <c r="R79" i="6"/>
  <c r="AA79" i="6" s="1"/>
  <c r="Q79" i="6"/>
  <c r="P79" i="6"/>
  <c r="Y78" i="6"/>
  <c r="AH78" i="6" s="1"/>
  <c r="X78" i="6"/>
  <c r="AG78" i="6" s="1"/>
  <c r="W78" i="6"/>
  <c r="AF78" i="6" s="1"/>
  <c r="V78" i="6"/>
  <c r="AE78" i="6" s="1"/>
  <c r="U78" i="6"/>
  <c r="AD78" i="6" s="1"/>
  <c r="T78" i="6"/>
  <c r="AC78" i="6" s="1"/>
  <c r="S78" i="6"/>
  <c r="AB78" i="6" s="1"/>
  <c r="R78" i="6"/>
  <c r="AA78" i="6" s="1"/>
  <c r="Q78" i="6"/>
  <c r="P78" i="6"/>
  <c r="AG38" i="1"/>
  <c r="AF37" i="1"/>
  <c r="E40" i="1"/>
  <c r="E46" i="1"/>
  <c r="E44" i="1"/>
  <c r="E45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37" i="1"/>
  <c r="E38" i="1"/>
  <c r="E39" i="1"/>
  <c r="E41" i="1"/>
  <c r="E42" i="1"/>
  <c r="E43" i="1"/>
  <c r="E8" i="1"/>
  <c r="Q46" i="6"/>
  <c r="P45" i="6"/>
  <c r="O44" i="6"/>
  <c r="N43" i="6"/>
  <c r="L41" i="6"/>
  <c r="S66" i="6"/>
  <c r="Z66" i="6" s="1"/>
  <c r="R66" i="6"/>
  <c r="Y66" i="6" s="1"/>
  <c r="Q66" i="6"/>
  <c r="X66" i="6" s="1"/>
  <c r="P66" i="6"/>
  <c r="W66" i="6" s="1"/>
  <c r="O66" i="6"/>
  <c r="V66" i="6" s="1"/>
  <c r="N66" i="6"/>
  <c r="U66" i="6" s="1"/>
  <c r="M66" i="6"/>
  <c r="L66" i="6"/>
  <c r="Z65" i="6"/>
  <c r="Y65" i="6"/>
  <c r="S65" i="6"/>
  <c r="R65" i="6"/>
  <c r="Q65" i="6"/>
  <c r="X65" i="6" s="1"/>
  <c r="P65" i="6"/>
  <c r="W65" i="6" s="1"/>
  <c r="O65" i="6"/>
  <c r="V65" i="6" s="1"/>
  <c r="N65" i="6"/>
  <c r="U65" i="6" s="1"/>
  <c r="M65" i="6"/>
  <c r="L65" i="6"/>
  <c r="Z64" i="6"/>
  <c r="Y64" i="6"/>
  <c r="X64" i="6"/>
  <c r="W64" i="6"/>
  <c r="S64" i="6"/>
  <c r="R64" i="6"/>
  <c r="Q64" i="6"/>
  <c r="P64" i="6"/>
  <c r="O64" i="6"/>
  <c r="V64" i="6" s="1"/>
  <c r="N64" i="6"/>
  <c r="U64" i="6" s="1"/>
  <c r="M64" i="6"/>
  <c r="L64" i="6"/>
  <c r="Z63" i="6"/>
  <c r="Y63" i="6"/>
  <c r="X63" i="6"/>
  <c r="W63" i="6"/>
  <c r="V63" i="6"/>
  <c r="U63" i="6"/>
  <c r="S63" i="6"/>
  <c r="R63" i="6"/>
  <c r="Q63" i="6"/>
  <c r="P63" i="6"/>
  <c r="O63" i="6"/>
  <c r="N63" i="6"/>
  <c r="M63" i="6"/>
  <c r="L63" i="6"/>
  <c r="X62" i="6"/>
  <c r="W62" i="6"/>
  <c r="V62" i="6"/>
  <c r="U62" i="6"/>
  <c r="S62" i="6"/>
  <c r="Z62" i="6" s="1"/>
  <c r="R62" i="6"/>
  <c r="Y62" i="6" s="1"/>
  <c r="Q62" i="6"/>
  <c r="P62" i="6"/>
  <c r="O62" i="6"/>
  <c r="N62" i="6"/>
  <c r="M62" i="6"/>
  <c r="L62" i="6"/>
  <c r="V61" i="6"/>
  <c r="U61" i="6"/>
  <c r="S61" i="6"/>
  <c r="Z61" i="6" s="1"/>
  <c r="R61" i="6"/>
  <c r="Y61" i="6" s="1"/>
  <c r="Q61" i="6"/>
  <c r="X61" i="6" s="1"/>
  <c r="P61" i="6"/>
  <c r="W61" i="6" s="1"/>
  <c r="O61" i="6"/>
  <c r="N61" i="6"/>
  <c r="M61" i="6"/>
  <c r="L61" i="6"/>
  <c r="S60" i="6"/>
  <c r="Z60" i="6" s="1"/>
  <c r="R60" i="6"/>
  <c r="Y60" i="6" s="1"/>
  <c r="Q60" i="6"/>
  <c r="X60" i="6" s="1"/>
  <c r="P60" i="6"/>
  <c r="W60" i="6" s="1"/>
  <c r="O60" i="6"/>
  <c r="V60" i="6" s="1"/>
  <c r="N60" i="6"/>
  <c r="U60" i="6" s="1"/>
  <c r="M60" i="6"/>
  <c r="L60" i="6"/>
  <c r="S59" i="6"/>
  <c r="Z59" i="6" s="1"/>
  <c r="R59" i="6"/>
  <c r="Y59" i="6" s="1"/>
  <c r="Q59" i="6"/>
  <c r="X59" i="6" s="1"/>
  <c r="P59" i="6"/>
  <c r="W59" i="6" s="1"/>
  <c r="O59" i="6"/>
  <c r="V59" i="6" s="1"/>
  <c r="N59" i="6"/>
  <c r="U59" i="6" s="1"/>
  <c r="M59" i="6"/>
  <c r="L59" i="6"/>
  <c r="S58" i="6"/>
  <c r="Z58" i="6" s="1"/>
  <c r="R58" i="6"/>
  <c r="Y58" i="6" s="1"/>
  <c r="Q58" i="6"/>
  <c r="X58" i="6" s="1"/>
  <c r="P58" i="6"/>
  <c r="W58" i="6" s="1"/>
  <c r="O58" i="6"/>
  <c r="V58" i="6" s="1"/>
  <c r="N58" i="6"/>
  <c r="U58" i="6" s="1"/>
  <c r="M58" i="6"/>
  <c r="L58" i="6"/>
  <c r="Z57" i="6"/>
  <c r="Y57" i="6"/>
  <c r="S57" i="6"/>
  <c r="R57" i="6"/>
  <c r="Q57" i="6"/>
  <c r="X57" i="6" s="1"/>
  <c r="P57" i="6"/>
  <c r="W57" i="6" s="1"/>
  <c r="O57" i="6"/>
  <c r="V57" i="6" s="1"/>
  <c r="N57" i="6"/>
  <c r="U57" i="6" s="1"/>
  <c r="M57" i="6"/>
  <c r="L57" i="6"/>
  <c r="Z56" i="6"/>
  <c r="Y56" i="6"/>
  <c r="X56" i="6"/>
  <c r="W56" i="6"/>
  <c r="S56" i="6"/>
  <c r="R56" i="6"/>
  <c r="Q56" i="6"/>
  <c r="P56" i="6"/>
  <c r="O56" i="6"/>
  <c r="V56" i="6" s="1"/>
  <c r="N56" i="6"/>
  <c r="U56" i="6" s="1"/>
  <c r="M56" i="6"/>
  <c r="L56" i="6"/>
  <c r="Z55" i="6"/>
  <c r="Y55" i="6"/>
  <c r="X55" i="6"/>
  <c r="W55" i="6"/>
  <c r="V55" i="6"/>
  <c r="U55" i="6"/>
  <c r="S55" i="6"/>
  <c r="R55" i="6"/>
  <c r="Q55" i="6"/>
  <c r="P55" i="6"/>
  <c r="O55" i="6"/>
  <c r="N55" i="6"/>
  <c r="M55" i="6"/>
  <c r="L55" i="6"/>
  <c r="X54" i="6"/>
  <c r="W54" i="6"/>
  <c r="V54" i="6"/>
  <c r="U54" i="6"/>
  <c r="S54" i="6"/>
  <c r="Z54" i="6" s="1"/>
  <c r="R54" i="6"/>
  <c r="Y54" i="6" s="1"/>
  <c r="Q54" i="6"/>
  <c r="P54" i="6"/>
  <c r="O54" i="6"/>
  <c r="N54" i="6"/>
  <c r="M54" i="6"/>
  <c r="L54" i="6"/>
  <c r="V53" i="6"/>
  <c r="U53" i="6"/>
  <c r="S53" i="6"/>
  <c r="Z53" i="6" s="1"/>
  <c r="R53" i="6"/>
  <c r="Y53" i="6" s="1"/>
  <c r="Q53" i="6"/>
  <c r="X53" i="6" s="1"/>
  <c r="P53" i="6"/>
  <c r="W53" i="6" s="1"/>
  <c r="O53" i="6"/>
  <c r="N53" i="6"/>
  <c r="M53" i="6"/>
  <c r="L53" i="6"/>
  <c r="S52" i="6"/>
  <c r="Z52" i="6" s="1"/>
  <c r="R52" i="6"/>
  <c r="Y52" i="6" s="1"/>
  <c r="Q52" i="6"/>
  <c r="X52" i="6" s="1"/>
  <c r="P52" i="6"/>
  <c r="W52" i="6" s="1"/>
  <c r="O52" i="6"/>
  <c r="V52" i="6" s="1"/>
  <c r="N52" i="6"/>
  <c r="U52" i="6" s="1"/>
  <c r="M52" i="6"/>
  <c r="L52" i="6"/>
  <c r="S51" i="6"/>
  <c r="Z51" i="6" s="1"/>
  <c r="R51" i="6"/>
  <c r="Y51" i="6" s="1"/>
  <c r="Q51" i="6"/>
  <c r="X51" i="6" s="1"/>
  <c r="P51" i="6"/>
  <c r="W51" i="6" s="1"/>
  <c r="O51" i="6"/>
  <c r="V51" i="6" s="1"/>
  <c r="N51" i="6"/>
  <c r="U51" i="6" s="1"/>
  <c r="M51" i="6"/>
  <c r="L51" i="6"/>
  <c r="S50" i="6"/>
  <c r="Z50" i="6" s="1"/>
  <c r="R50" i="6"/>
  <c r="Y50" i="6" s="1"/>
  <c r="Q50" i="6"/>
  <c r="X50" i="6" s="1"/>
  <c r="P50" i="6"/>
  <c r="W50" i="6" s="1"/>
  <c r="O50" i="6"/>
  <c r="V50" i="6" s="1"/>
  <c r="N50" i="6"/>
  <c r="U50" i="6" s="1"/>
  <c r="M50" i="6"/>
  <c r="L50" i="6"/>
  <c r="Z49" i="6"/>
  <c r="Y49" i="6"/>
  <c r="S49" i="6"/>
  <c r="R49" i="6"/>
  <c r="Q49" i="6"/>
  <c r="X49" i="6" s="1"/>
  <c r="P49" i="6"/>
  <c r="W49" i="6" s="1"/>
  <c r="O49" i="6"/>
  <c r="V49" i="6" s="1"/>
  <c r="N49" i="6"/>
  <c r="U49" i="6" s="1"/>
  <c r="M49" i="6"/>
  <c r="L49" i="6"/>
  <c r="Z48" i="6"/>
  <c r="Y48" i="6"/>
  <c r="X48" i="6"/>
  <c r="W48" i="6"/>
  <c r="S48" i="6"/>
  <c r="R48" i="6"/>
  <c r="Q48" i="6"/>
  <c r="P48" i="6"/>
  <c r="O48" i="6"/>
  <c r="V48" i="6" s="1"/>
  <c r="N48" i="6"/>
  <c r="U48" i="6" s="1"/>
  <c r="M48" i="6"/>
  <c r="L48" i="6"/>
  <c r="Z47" i="6"/>
  <c r="Y47" i="6"/>
  <c r="X47" i="6"/>
  <c r="W47" i="6"/>
  <c r="V47" i="6"/>
  <c r="U47" i="6"/>
  <c r="S47" i="6"/>
  <c r="R47" i="6"/>
  <c r="Q47" i="6"/>
  <c r="P47" i="6"/>
  <c r="O47" i="6"/>
  <c r="N47" i="6"/>
  <c r="M47" i="6"/>
  <c r="L47" i="6"/>
  <c r="X46" i="6"/>
  <c r="W46" i="6"/>
  <c r="V46" i="6"/>
  <c r="U46" i="6"/>
  <c r="S46" i="6"/>
  <c r="Z46" i="6" s="1"/>
  <c r="R46" i="6"/>
  <c r="Y46" i="6" s="1"/>
  <c r="P46" i="6"/>
  <c r="O46" i="6"/>
  <c r="N46" i="6"/>
  <c r="M46" i="6"/>
  <c r="L46" i="6"/>
  <c r="V45" i="6"/>
  <c r="U45" i="6"/>
  <c r="S45" i="6"/>
  <c r="Z45" i="6" s="1"/>
  <c r="R45" i="6"/>
  <c r="Y45" i="6" s="1"/>
  <c r="Q45" i="6"/>
  <c r="X45" i="6" s="1"/>
  <c r="W45" i="6"/>
  <c r="O45" i="6"/>
  <c r="N45" i="6"/>
  <c r="M45" i="6"/>
  <c r="L45" i="6"/>
  <c r="S44" i="6"/>
  <c r="Z44" i="6" s="1"/>
  <c r="R44" i="6"/>
  <c r="Y44" i="6" s="1"/>
  <c r="Q44" i="6"/>
  <c r="X44" i="6" s="1"/>
  <c r="P44" i="6"/>
  <c r="W44" i="6" s="1"/>
  <c r="V44" i="6"/>
  <c r="N44" i="6"/>
  <c r="U44" i="6" s="1"/>
  <c r="M44" i="6"/>
  <c r="L44" i="6"/>
  <c r="S43" i="6"/>
  <c r="Z43" i="6" s="1"/>
  <c r="R43" i="6"/>
  <c r="Y43" i="6" s="1"/>
  <c r="Q43" i="6"/>
  <c r="X43" i="6" s="1"/>
  <c r="P43" i="6"/>
  <c r="W43" i="6" s="1"/>
  <c r="O43" i="6"/>
  <c r="V43" i="6" s="1"/>
  <c r="U43" i="6"/>
  <c r="M43" i="6"/>
  <c r="L43" i="6"/>
  <c r="S42" i="6"/>
  <c r="Z42" i="6" s="1"/>
  <c r="R42" i="6"/>
  <c r="Y42" i="6" s="1"/>
  <c r="Q42" i="6"/>
  <c r="X42" i="6" s="1"/>
  <c r="P42" i="6"/>
  <c r="W42" i="6" s="1"/>
  <c r="O42" i="6"/>
  <c r="V42" i="6" s="1"/>
  <c r="N42" i="6"/>
  <c r="U42" i="6" s="1"/>
  <c r="M42" i="6"/>
  <c r="L42" i="6"/>
  <c r="Z41" i="6"/>
  <c r="Y41" i="6"/>
  <c r="S41" i="6"/>
  <c r="R41" i="6"/>
  <c r="Q41" i="6"/>
  <c r="X41" i="6" s="1"/>
  <c r="P41" i="6"/>
  <c r="W41" i="6" s="1"/>
  <c r="O41" i="6"/>
  <c r="V41" i="6" s="1"/>
  <c r="N41" i="6"/>
  <c r="U41" i="6" s="1"/>
  <c r="M41" i="6"/>
  <c r="Z40" i="6"/>
  <c r="Y40" i="6"/>
  <c r="X40" i="6"/>
  <c r="W40" i="6"/>
  <c r="S40" i="6"/>
  <c r="R40" i="6"/>
  <c r="Q40" i="6"/>
  <c r="P40" i="6"/>
  <c r="O40" i="6"/>
  <c r="V40" i="6" s="1"/>
  <c r="N40" i="6"/>
  <c r="U40" i="6" s="1"/>
  <c r="M40" i="6"/>
  <c r="L40" i="6"/>
  <c r="Z39" i="6"/>
  <c r="Y39" i="6"/>
  <c r="X39" i="6"/>
  <c r="W39" i="6"/>
  <c r="V39" i="6"/>
  <c r="U39" i="6"/>
  <c r="S39" i="6"/>
  <c r="R39" i="6"/>
  <c r="Q39" i="6"/>
  <c r="P39" i="6"/>
  <c r="O39" i="6"/>
  <c r="N39" i="6"/>
  <c r="M39" i="6"/>
  <c r="L39" i="6"/>
  <c r="X38" i="6"/>
  <c r="W38" i="6"/>
  <c r="V38" i="6"/>
  <c r="U38" i="6"/>
  <c r="S38" i="6"/>
  <c r="Z38" i="6" s="1"/>
  <c r="R38" i="6"/>
  <c r="Y38" i="6" s="1"/>
  <c r="Q38" i="6"/>
  <c r="P38" i="6"/>
  <c r="O38" i="6"/>
  <c r="N38" i="6"/>
  <c r="M38" i="6"/>
  <c r="L38" i="6"/>
  <c r="V15" i="6"/>
  <c r="P7" i="6"/>
  <c r="N4" i="6"/>
  <c r="M5" i="6"/>
  <c r="L4" i="6"/>
  <c r="L29" i="6"/>
  <c r="M29" i="6"/>
  <c r="N29" i="6"/>
  <c r="O29" i="6"/>
  <c r="P29" i="6"/>
  <c r="Q29" i="6"/>
  <c r="R29" i="6"/>
  <c r="S29" i="6"/>
  <c r="U29" i="6"/>
  <c r="V29" i="6"/>
  <c r="W29" i="6"/>
  <c r="X29" i="6"/>
  <c r="Y29" i="6"/>
  <c r="Z29" i="6"/>
  <c r="L30" i="6"/>
  <c r="M30" i="6"/>
  <c r="N30" i="6"/>
  <c r="O30" i="6"/>
  <c r="P30" i="6"/>
  <c r="Q30" i="6"/>
  <c r="R30" i="6"/>
  <c r="S30" i="6"/>
  <c r="U30" i="6"/>
  <c r="V30" i="6"/>
  <c r="W30" i="6"/>
  <c r="X30" i="6"/>
  <c r="Y30" i="6"/>
  <c r="Z30" i="6"/>
  <c r="L31" i="6"/>
  <c r="M31" i="6"/>
  <c r="N31" i="6"/>
  <c r="U31" i="6" s="1"/>
  <c r="O31" i="6"/>
  <c r="V31" i="6" s="1"/>
  <c r="P31" i="6"/>
  <c r="Q31" i="6"/>
  <c r="R31" i="6"/>
  <c r="S31" i="6"/>
  <c r="W31" i="6"/>
  <c r="X31" i="6"/>
  <c r="Y31" i="6"/>
  <c r="Z31" i="6"/>
  <c r="S28" i="6"/>
  <c r="Z28" i="6" s="1"/>
  <c r="R28" i="6"/>
  <c r="Y28" i="6" s="1"/>
  <c r="Q28" i="6"/>
  <c r="X28" i="6" s="1"/>
  <c r="P28" i="6"/>
  <c r="W28" i="6" s="1"/>
  <c r="O28" i="6"/>
  <c r="V28" i="6" s="1"/>
  <c r="N28" i="6"/>
  <c r="U28" i="6" s="1"/>
  <c r="M28" i="6"/>
  <c r="L28" i="6"/>
  <c r="Y27" i="6"/>
  <c r="S27" i="6"/>
  <c r="Z27" i="6" s="1"/>
  <c r="R27" i="6"/>
  <c r="Q27" i="6"/>
  <c r="X27" i="6" s="1"/>
  <c r="P27" i="6"/>
  <c r="W27" i="6" s="1"/>
  <c r="O27" i="6"/>
  <c r="V27" i="6" s="1"/>
  <c r="N27" i="6"/>
  <c r="U27" i="6" s="1"/>
  <c r="M27" i="6"/>
  <c r="L27" i="6"/>
  <c r="Y26" i="6"/>
  <c r="W26" i="6"/>
  <c r="S26" i="6"/>
  <c r="Z26" i="6" s="1"/>
  <c r="R26" i="6"/>
  <c r="Q26" i="6"/>
  <c r="X26" i="6" s="1"/>
  <c r="P26" i="6"/>
  <c r="O26" i="6"/>
  <c r="V26" i="6" s="1"/>
  <c r="N26" i="6"/>
  <c r="U26" i="6" s="1"/>
  <c r="M26" i="6"/>
  <c r="L26" i="6"/>
  <c r="Y25" i="6"/>
  <c r="W25" i="6"/>
  <c r="U25" i="6"/>
  <c r="S25" i="6"/>
  <c r="Z25" i="6" s="1"/>
  <c r="R25" i="6"/>
  <c r="Q25" i="6"/>
  <c r="X25" i="6" s="1"/>
  <c r="P25" i="6"/>
  <c r="O25" i="6"/>
  <c r="V25" i="6" s="1"/>
  <c r="N25" i="6"/>
  <c r="M25" i="6"/>
  <c r="L25" i="6"/>
  <c r="Z24" i="6"/>
  <c r="W24" i="6"/>
  <c r="U24" i="6"/>
  <c r="S24" i="6"/>
  <c r="R24" i="6"/>
  <c r="Y24" i="6" s="1"/>
  <c r="Q24" i="6"/>
  <c r="X24" i="6" s="1"/>
  <c r="P24" i="6"/>
  <c r="O24" i="6"/>
  <c r="V24" i="6" s="1"/>
  <c r="N24" i="6"/>
  <c r="M24" i="6"/>
  <c r="L24" i="6"/>
  <c r="X23" i="6"/>
  <c r="U23" i="6"/>
  <c r="S23" i="6"/>
  <c r="Z23" i="6" s="1"/>
  <c r="R23" i="6"/>
  <c r="Y23" i="6" s="1"/>
  <c r="Q23" i="6"/>
  <c r="P23" i="6"/>
  <c r="W23" i="6" s="1"/>
  <c r="O23" i="6"/>
  <c r="V23" i="6" s="1"/>
  <c r="N23" i="6"/>
  <c r="M23" i="6"/>
  <c r="L23" i="6"/>
  <c r="Z22" i="6"/>
  <c r="V22" i="6"/>
  <c r="S22" i="6"/>
  <c r="R22" i="6"/>
  <c r="Y22" i="6" s="1"/>
  <c r="Q22" i="6"/>
  <c r="X22" i="6" s="1"/>
  <c r="P22" i="6"/>
  <c r="W22" i="6" s="1"/>
  <c r="O22" i="6"/>
  <c r="N22" i="6"/>
  <c r="U22" i="6" s="1"/>
  <c r="M22" i="6"/>
  <c r="L22" i="6"/>
  <c r="Z21" i="6"/>
  <c r="X21" i="6"/>
  <c r="S21" i="6"/>
  <c r="R21" i="6"/>
  <c r="Y21" i="6" s="1"/>
  <c r="Q21" i="6"/>
  <c r="P21" i="6"/>
  <c r="W21" i="6" s="1"/>
  <c r="O21" i="6"/>
  <c r="V21" i="6" s="1"/>
  <c r="N21" i="6"/>
  <c r="U21" i="6" s="1"/>
  <c r="M21" i="6"/>
  <c r="L21" i="6"/>
  <c r="Z20" i="6"/>
  <c r="X20" i="6"/>
  <c r="V20" i="6"/>
  <c r="S20" i="6"/>
  <c r="R20" i="6"/>
  <c r="Y20" i="6" s="1"/>
  <c r="Q20" i="6"/>
  <c r="P20" i="6"/>
  <c r="W20" i="6" s="1"/>
  <c r="O20" i="6"/>
  <c r="N20" i="6"/>
  <c r="U20" i="6" s="1"/>
  <c r="M20" i="6"/>
  <c r="L20" i="6"/>
  <c r="Y19" i="6"/>
  <c r="X19" i="6"/>
  <c r="V19" i="6"/>
  <c r="S19" i="6"/>
  <c r="Z19" i="6" s="1"/>
  <c r="R19" i="6"/>
  <c r="Q19" i="6"/>
  <c r="P19" i="6"/>
  <c r="W19" i="6" s="1"/>
  <c r="O19" i="6"/>
  <c r="N19" i="6"/>
  <c r="U19" i="6" s="1"/>
  <c r="M19" i="6"/>
  <c r="L19" i="6"/>
  <c r="Y18" i="6"/>
  <c r="W18" i="6"/>
  <c r="V18" i="6"/>
  <c r="S18" i="6"/>
  <c r="Z18" i="6" s="1"/>
  <c r="R18" i="6"/>
  <c r="Q18" i="6"/>
  <c r="X18" i="6" s="1"/>
  <c r="P18" i="6"/>
  <c r="O18" i="6"/>
  <c r="N18" i="6"/>
  <c r="U18" i="6" s="1"/>
  <c r="M18" i="6"/>
  <c r="L18" i="6"/>
  <c r="Y17" i="6"/>
  <c r="X17" i="6"/>
  <c r="W17" i="6"/>
  <c r="U17" i="6"/>
  <c r="S17" i="6"/>
  <c r="Z17" i="6" s="1"/>
  <c r="R17" i="6"/>
  <c r="Q17" i="6"/>
  <c r="P17" i="6"/>
  <c r="O17" i="6"/>
  <c r="V17" i="6" s="1"/>
  <c r="N17" i="6"/>
  <c r="M17" i="6"/>
  <c r="L17" i="6"/>
  <c r="Z16" i="6"/>
  <c r="W16" i="6"/>
  <c r="U16" i="6"/>
  <c r="S16" i="6"/>
  <c r="R16" i="6"/>
  <c r="Y16" i="6" s="1"/>
  <c r="Q16" i="6"/>
  <c r="X16" i="6" s="1"/>
  <c r="P16" i="6"/>
  <c r="O16" i="6"/>
  <c r="V16" i="6" s="1"/>
  <c r="N16" i="6"/>
  <c r="M16" i="6"/>
  <c r="L16" i="6"/>
  <c r="Y15" i="6"/>
  <c r="X15" i="6"/>
  <c r="U15" i="6"/>
  <c r="S15" i="6"/>
  <c r="Z15" i="6" s="1"/>
  <c r="R15" i="6"/>
  <c r="Q15" i="6"/>
  <c r="P15" i="6"/>
  <c r="W15" i="6" s="1"/>
  <c r="O15" i="6"/>
  <c r="N15" i="6"/>
  <c r="M15" i="6"/>
  <c r="L15" i="6"/>
  <c r="Z14" i="6"/>
  <c r="W14" i="6"/>
  <c r="V14" i="6"/>
  <c r="S14" i="6"/>
  <c r="R14" i="6"/>
  <c r="Y14" i="6" s="1"/>
  <c r="Q14" i="6"/>
  <c r="X14" i="6" s="1"/>
  <c r="P14" i="6"/>
  <c r="O14" i="6"/>
  <c r="N14" i="6"/>
  <c r="U14" i="6" s="1"/>
  <c r="M14" i="6"/>
  <c r="L14" i="6"/>
  <c r="Z13" i="6"/>
  <c r="X13" i="6"/>
  <c r="U13" i="6"/>
  <c r="S13" i="6"/>
  <c r="R13" i="6"/>
  <c r="Y13" i="6" s="1"/>
  <c r="Q13" i="6"/>
  <c r="P13" i="6"/>
  <c r="W13" i="6" s="1"/>
  <c r="O13" i="6"/>
  <c r="V13" i="6" s="1"/>
  <c r="N13" i="6"/>
  <c r="M13" i="6"/>
  <c r="L13" i="6"/>
  <c r="Z12" i="6"/>
  <c r="X12" i="6"/>
  <c r="V12" i="6"/>
  <c r="S12" i="6"/>
  <c r="R12" i="6"/>
  <c r="Y12" i="6" s="1"/>
  <c r="Q12" i="6"/>
  <c r="P12" i="6"/>
  <c r="W12" i="6" s="1"/>
  <c r="O12" i="6"/>
  <c r="N12" i="6"/>
  <c r="U12" i="6" s="1"/>
  <c r="M12" i="6"/>
  <c r="L12" i="6"/>
  <c r="Y11" i="6"/>
  <c r="X11" i="6"/>
  <c r="V11" i="6"/>
  <c r="S11" i="6"/>
  <c r="Z11" i="6" s="1"/>
  <c r="R11" i="6"/>
  <c r="Q11" i="6"/>
  <c r="P11" i="6"/>
  <c r="W11" i="6" s="1"/>
  <c r="O11" i="6"/>
  <c r="N11" i="6"/>
  <c r="U11" i="6" s="1"/>
  <c r="M11" i="6"/>
  <c r="L11" i="6"/>
  <c r="Y10" i="6"/>
  <c r="W10" i="6"/>
  <c r="V10" i="6"/>
  <c r="S10" i="6"/>
  <c r="Z10" i="6" s="1"/>
  <c r="R10" i="6"/>
  <c r="Q10" i="6"/>
  <c r="X10" i="6" s="1"/>
  <c r="P10" i="6"/>
  <c r="O10" i="6"/>
  <c r="N10" i="6"/>
  <c r="U10" i="6" s="1"/>
  <c r="M10" i="6"/>
  <c r="L10" i="6"/>
  <c r="Y9" i="6"/>
  <c r="W9" i="6"/>
  <c r="U9" i="6"/>
  <c r="S9" i="6"/>
  <c r="Z9" i="6" s="1"/>
  <c r="R9" i="6"/>
  <c r="Q9" i="6"/>
  <c r="X9" i="6" s="1"/>
  <c r="P9" i="6"/>
  <c r="O9" i="6"/>
  <c r="V9" i="6" s="1"/>
  <c r="N9" i="6"/>
  <c r="M9" i="6"/>
  <c r="L9" i="6"/>
  <c r="Z8" i="6"/>
  <c r="W8" i="6"/>
  <c r="U8" i="6"/>
  <c r="S8" i="6"/>
  <c r="R8" i="6"/>
  <c r="Y8" i="6" s="1"/>
  <c r="Q8" i="6"/>
  <c r="X8" i="6" s="1"/>
  <c r="P8" i="6"/>
  <c r="O8" i="6"/>
  <c r="V8" i="6" s="1"/>
  <c r="N8" i="6"/>
  <c r="M8" i="6"/>
  <c r="L8" i="6"/>
  <c r="Y7" i="6"/>
  <c r="X7" i="6"/>
  <c r="U7" i="6"/>
  <c r="S7" i="6"/>
  <c r="Z7" i="6" s="1"/>
  <c r="R7" i="6"/>
  <c r="Q7" i="6"/>
  <c r="W7" i="6"/>
  <c r="O7" i="6"/>
  <c r="V7" i="6" s="1"/>
  <c r="N7" i="6"/>
  <c r="M7" i="6"/>
  <c r="L7" i="6"/>
  <c r="Z6" i="6"/>
  <c r="W6" i="6"/>
  <c r="V6" i="6"/>
  <c r="S6" i="6"/>
  <c r="R6" i="6"/>
  <c r="Y6" i="6" s="1"/>
  <c r="Q6" i="6"/>
  <c r="X6" i="6" s="1"/>
  <c r="P6" i="6"/>
  <c r="O6" i="6"/>
  <c r="N6" i="6"/>
  <c r="U6" i="6" s="1"/>
  <c r="M6" i="6"/>
  <c r="L6" i="6"/>
  <c r="Z5" i="6"/>
  <c r="X5" i="6"/>
  <c r="U5" i="6"/>
  <c r="S5" i="6"/>
  <c r="R5" i="6"/>
  <c r="Y5" i="6" s="1"/>
  <c r="Q5" i="6"/>
  <c r="P5" i="6"/>
  <c r="W5" i="6" s="1"/>
  <c r="O5" i="6"/>
  <c r="V5" i="6" s="1"/>
  <c r="N5" i="6"/>
  <c r="L5" i="6"/>
  <c r="Z4" i="6"/>
  <c r="X4" i="6"/>
  <c r="V4" i="6"/>
  <c r="S4" i="6"/>
  <c r="R4" i="6"/>
  <c r="Y4" i="6" s="1"/>
  <c r="Q4" i="6"/>
  <c r="P4" i="6"/>
  <c r="W4" i="6" s="1"/>
  <c r="O4" i="6"/>
  <c r="U4" i="6"/>
  <c r="M4" i="6"/>
  <c r="Y3" i="6"/>
  <c r="X3" i="6"/>
  <c r="V3" i="6"/>
  <c r="S3" i="6"/>
  <c r="Z3" i="6" s="1"/>
  <c r="R3" i="6"/>
  <c r="Q3" i="6"/>
  <c r="P3" i="6"/>
  <c r="W3" i="6" s="1"/>
  <c r="O3" i="6"/>
  <c r="N3" i="6"/>
  <c r="U3" i="6" s="1"/>
  <c r="M3" i="6"/>
  <c r="L3" i="6"/>
  <c r="E123" i="5" l="1"/>
  <c r="E81" i="5"/>
  <c r="E41" i="5"/>
  <c r="E22" i="5"/>
  <c r="E119" i="5"/>
  <c r="E116" i="5"/>
  <c r="E117" i="5"/>
  <c r="E118" i="5"/>
  <c r="E120" i="5"/>
  <c r="E121" i="5"/>
  <c r="E122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98" i="5"/>
  <c r="E85" i="5"/>
  <c r="E45" i="5"/>
  <c r="E10" i="5"/>
  <c r="E79" i="5"/>
  <c r="E80" i="5"/>
  <c r="E82" i="5"/>
  <c r="E83" i="5"/>
  <c r="E84" i="5"/>
  <c r="E86" i="5"/>
  <c r="E87" i="5"/>
  <c r="E88" i="5"/>
  <c r="E89" i="5"/>
  <c r="E90" i="5"/>
  <c r="E91" i="5"/>
  <c r="E92" i="5"/>
  <c r="E93" i="5"/>
  <c r="E94" i="5"/>
  <c r="E95" i="5"/>
  <c r="E96" i="5"/>
  <c r="E97" i="5"/>
  <c r="E99" i="5"/>
  <c r="E100" i="5"/>
  <c r="E101" i="5"/>
  <c r="E102" i="5"/>
  <c r="E103" i="5"/>
  <c r="E104" i="5"/>
  <c r="E105" i="5"/>
  <c r="E78" i="5"/>
  <c r="E115" i="5"/>
  <c r="E66" i="5"/>
  <c r="E42" i="5"/>
  <c r="E43" i="5"/>
  <c r="E44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7" i="5"/>
  <c r="E40" i="5"/>
  <c r="Q116" i="5"/>
  <c r="U116" i="5" s="1"/>
  <c r="Q117" i="5"/>
  <c r="U117" i="5" s="1"/>
  <c r="T117" i="5"/>
  <c r="Q118" i="5"/>
  <c r="U118" i="5" s="1"/>
  <c r="S118" i="5"/>
  <c r="Q119" i="5"/>
  <c r="U119" i="5" s="1"/>
  <c r="Q120" i="5"/>
  <c r="U120" i="5" s="1"/>
  <c r="S120" i="5"/>
  <c r="T120" i="5"/>
  <c r="Q121" i="5"/>
  <c r="U121" i="5" s="1"/>
  <c r="S121" i="5"/>
  <c r="T121" i="5"/>
  <c r="Q122" i="5"/>
  <c r="U122" i="5" s="1"/>
  <c r="Q123" i="5"/>
  <c r="U123" i="5" s="1"/>
  <c r="Q124" i="5"/>
  <c r="U124" i="5" s="1"/>
  <c r="Q125" i="5"/>
  <c r="U125" i="5" s="1"/>
  <c r="Q126" i="5"/>
  <c r="U126" i="5" s="1"/>
  <c r="S126" i="5"/>
  <c r="T126" i="5"/>
  <c r="Q127" i="5"/>
  <c r="U127" i="5" s="1"/>
  <c r="S127" i="5"/>
  <c r="T127" i="5"/>
  <c r="Q128" i="5"/>
  <c r="U128" i="5" s="1"/>
  <c r="Q129" i="5"/>
  <c r="U129" i="5" s="1"/>
  <c r="Q130" i="5"/>
  <c r="U130" i="5" s="1"/>
  <c r="S130" i="5"/>
  <c r="T130" i="5"/>
  <c r="Q131" i="5"/>
  <c r="U131" i="5" s="1"/>
  <c r="Q132" i="5"/>
  <c r="U132" i="5" s="1"/>
  <c r="Q133" i="5"/>
  <c r="U133" i="5" s="1"/>
  <c r="Q134" i="5"/>
  <c r="U134" i="5" s="1"/>
  <c r="Q135" i="5"/>
  <c r="U135" i="5" s="1"/>
  <c r="S135" i="5"/>
  <c r="T135" i="5"/>
  <c r="Q136" i="5"/>
  <c r="U136" i="5" s="1"/>
  <c r="Q137" i="5"/>
  <c r="U137" i="5" s="1"/>
  <c r="Q138" i="5"/>
  <c r="U138" i="5" s="1"/>
  <c r="S138" i="5"/>
  <c r="Q139" i="5"/>
  <c r="U139" i="5" s="1"/>
  <c r="Q140" i="5"/>
  <c r="U140" i="5" s="1"/>
  <c r="S140" i="5"/>
  <c r="T140" i="5"/>
  <c r="Q141" i="5"/>
  <c r="U141" i="5" s="1"/>
  <c r="Q142" i="5"/>
  <c r="U142" i="5" s="1"/>
  <c r="Q115" i="5"/>
  <c r="T115" i="5" s="1"/>
  <c r="Q63" i="5"/>
  <c r="S63" i="5" s="1"/>
  <c r="Q64" i="5"/>
  <c r="S64" i="5" s="1"/>
  <c r="Q65" i="5"/>
  <c r="S65" i="5" s="1"/>
  <c r="Q66" i="5"/>
  <c r="S66" i="5" s="1"/>
  <c r="Q67" i="5"/>
  <c r="S67" i="5" s="1"/>
  <c r="S41" i="5"/>
  <c r="U43" i="5"/>
  <c r="S44" i="5"/>
  <c r="U44" i="5"/>
  <c r="S45" i="5"/>
  <c r="U47" i="5"/>
  <c r="Q41" i="5"/>
  <c r="T41" i="5" s="1"/>
  <c r="Q42" i="5"/>
  <c r="T42" i="5" s="1"/>
  <c r="Q43" i="5"/>
  <c r="S43" i="5" s="1"/>
  <c r="Q44" i="5"/>
  <c r="T44" i="5" s="1"/>
  <c r="Q45" i="5"/>
  <c r="T45" i="5" s="1"/>
  <c r="Q46" i="5"/>
  <c r="T46" i="5" s="1"/>
  <c r="Q47" i="5"/>
  <c r="S47" i="5" s="1"/>
  <c r="Q48" i="5"/>
  <c r="T48" i="5" s="1"/>
  <c r="Q49" i="5"/>
  <c r="T49" i="5" s="1"/>
  <c r="Q50" i="5"/>
  <c r="T50" i="5" s="1"/>
  <c r="Q51" i="5"/>
  <c r="T51" i="5" s="1"/>
  <c r="Q52" i="5"/>
  <c r="T52" i="5" s="1"/>
  <c r="Q53" i="5"/>
  <c r="S53" i="5" s="1"/>
  <c r="Q54" i="5"/>
  <c r="T54" i="5" s="1"/>
  <c r="Q55" i="5"/>
  <c r="S55" i="5" s="1"/>
  <c r="Q56" i="5"/>
  <c r="S56" i="5" s="1"/>
  <c r="Q57" i="5"/>
  <c r="T57" i="5" s="1"/>
  <c r="Q58" i="5"/>
  <c r="S58" i="5" s="1"/>
  <c r="Q59" i="5"/>
  <c r="T59" i="5" s="1"/>
  <c r="Q60" i="5"/>
  <c r="S60" i="5" s="1"/>
  <c r="Q61" i="5"/>
  <c r="T61" i="5" s="1"/>
  <c r="Q62" i="5"/>
  <c r="T62" i="5" s="1"/>
  <c r="Q40" i="5"/>
  <c r="S40" i="5" s="1"/>
  <c r="E9" i="5"/>
  <c r="S49" i="5" l="1"/>
  <c r="S142" i="5"/>
  <c r="S133" i="5"/>
  <c r="T124" i="5"/>
  <c r="T116" i="5"/>
  <c r="U48" i="5"/>
  <c r="S124" i="5"/>
  <c r="S116" i="5"/>
  <c r="S48" i="5"/>
  <c r="S141" i="5"/>
  <c r="T142" i="5"/>
  <c r="T141" i="5"/>
  <c r="T139" i="5"/>
  <c r="S139" i="5"/>
  <c r="T138" i="5"/>
  <c r="T137" i="5"/>
  <c r="S137" i="5"/>
  <c r="T136" i="5"/>
  <c r="S136" i="5"/>
  <c r="T134" i="5"/>
  <c r="S134" i="5"/>
  <c r="T133" i="5"/>
  <c r="T132" i="5"/>
  <c r="S132" i="5"/>
  <c r="T131" i="5"/>
  <c r="S131" i="5"/>
  <c r="T129" i="5"/>
  <c r="S129" i="5"/>
  <c r="S128" i="5"/>
  <c r="T128" i="5"/>
  <c r="T125" i="5"/>
  <c r="S125" i="5"/>
  <c r="T123" i="5"/>
  <c r="S123" i="5"/>
  <c r="T122" i="5"/>
  <c r="S122" i="5"/>
  <c r="T119" i="5"/>
  <c r="S119" i="5"/>
  <c r="T118" i="5"/>
  <c r="S117" i="5"/>
  <c r="S115" i="5"/>
  <c r="U115" i="5"/>
  <c r="S50" i="5"/>
  <c r="T47" i="5"/>
  <c r="S46" i="5"/>
  <c r="T43" i="5"/>
  <c r="S42" i="5"/>
  <c r="T40" i="5"/>
  <c r="S51" i="5"/>
  <c r="U49" i="5"/>
  <c r="U45" i="5"/>
  <c r="U41" i="5"/>
  <c r="U50" i="5"/>
  <c r="U46" i="5"/>
  <c r="U42" i="5"/>
  <c r="U63" i="5"/>
  <c r="U67" i="5"/>
  <c r="U66" i="5"/>
  <c r="U65" i="5"/>
  <c r="U64" i="5"/>
  <c r="T67" i="5"/>
  <c r="T66" i="5"/>
  <c r="T65" i="5"/>
  <c r="T64" i="5"/>
  <c r="T63" i="5"/>
  <c r="U61" i="5"/>
  <c r="S61" i="5"/>
  <c r="U60" i="5"/>
  <c r="T60" i="5"/>
  <c r="S59" i="5"/>
  <c r="U59" i="5"/>
  <c r="U58" i="5"/>
  <c r="T58" i="5"/>
  <c r="U57" i="5"/>
  <c r="S57" i="5"/>
  <c r="U56" i="5"/>
  <c r="T56" i="5"/>
  <c r="U55" i="5"/>
  <c r="T55" i="5"/>
  <c r="U54" i="5"/>
  <c r="S54" i="5"/>
  <c r="U53" i="5"/>
  <c r="T53" i="5"/>
  <c r="U52" i="5"/>
  <c r="S52" i="5"/>
  <c r="U51" i="5"/>
  <c r="S62" i="5"/>
  <c r="U62" i="5"/>
  <c r="U40" i="5"/>
  <c r="Y38" i="1"/>
  <c r="AD38" i="1" s="1"/>
  <c r="Y39" i="1"/>
  <c r="AB39" i="1" s="1"/>
  <c r="Y40" i="1"/>
  <c r="AB40" i="1" s="1"/>
  <c r="Y41" i="1"/>
  <c r="AC41" i="1" s="1"/>
  <c r="Y42" i="1"/>
  <c r="AD42" i="1" s="1"/>
  <c r="AB42" i="1"/>
  <c r="AC42" i="1"/>
  <c r="AE42" i="1"/>
  <c r="AF42" i="1"/>
  <c r="AG42" i="1"/>
  <c r="Y43" i="1"/>
  <c r="AB43" i="1" s="1"/>
  <c r="Y44" i="1"/>
  <c r="AB44" i="1" s="1"/>
  <c r="Y45" i="1"/>
  <c r="AC45" i="1" s="1"/>
  <c r="AB45" i="1"/>
  <c r="AE45" i="1"/>
  <c r="AF45" i="1"/>
  <c r="Y46" i="1"/>
  <c r="AD46" i="1" s="1"/>
  <c r="AB46" i="1"/>
  <c r="AC46" i="1"/>
  <c r="Y47" i="1"/>
  <c r="AB47" i="1" s="1"/>
  <c r="AE47" i="1"/>
  <c r="Y48" i="1"/>
  <c r="AB48" i="1" s="1"/>
  <c r="AE48" i="1"/>
  <c r="Y49" i="1"/>
  <c r="AC49" i="1" s="1"/>
  <c r="AB49" i="1"/>
  <c r="AE49" i="1"/>
  <c r="AF49" i="1"/>
  <c r="Y50" i="1"/>
  <c r="AD50" i="1" s="1"/>
  <c r="Y51" i="1"/>
  <c r="AC51" i="1" s="1"/>
  <c r="AB51" i="1"/>
  <c r="AD51" i="1"/>
  <c r="AE51" i="1"/>
  <c r="AF51" i="1"/>
  <c r="AG51" i="1"/>
  <c r="Y52" i="1"/>
  <c r="AB52" i="1" s="1"/>
  <c r="AE52" i="1"/>
  <c r="Y53" i="1"/>
  <c r="AC53" i="1" s="1"/>
  <c r="Y54" i="1"/>
  <c r="AD54" i="1" s="1"/>
  <c r="AE54" i="1"/>
  <c r="AF54" i="1"/>
  <c r="Y55" i="1"/>
  <c r="AB55" i="1"/>
  <c r="AC55" i="1"/>
  <c r="AD55" i="1"/>
  <c r="AE55" i="1"/>
  <c r="AF55" i="1"/>
  <c r="AG55" i="1"/>
  <c r="Y56" i="1"/>
  <c r="AB56" i="1" s="1"/>
  <c r="Y57" i="1"/>
  <c r="AC57" i="1" s="1"/>
  <c r="Y58" i="1"/>
  <c r="AD58" i="1" s="1"/>
  <c r="AB58" i="1"/>
  <c r="AE58" i="1"/>
  <c r="AF58" i="1"/>
  <c r="AG58" i="1"/>
  <c r="Y59" i="1"/>
  <c r="AF59" i="1" s="1"/>
  <c r="AB59" i="1"/>
  <c r="AC59" i="1"/>
  <c r="AD59" i="1"/>
  <c r="Y60" i="1"/>
  <c r="AB60" i="1" s="1"/>
  <c r="Y61" i="1"/>
  <c r="AC61" i="1" s="1"/>
  <c r="AF61" i="1"/>
  <c r="Y62" i="1"/>
  <c r="AD62" i="1" s="1"/>
  <c r="AB62" i="1"/>
  <c r="AC62" i="1"/>
  <c r="AE62" i="1"/>
  <c r="AF62" i="1"/>
  <c r="AG62" i="1"/>
  <c r="Y63" i="1"/>
  <c r="AD63" i="1" s="1"/>
  <c r="AB63" i="1"/>
  <c r="Y37" i="1"/>
  <c r="AE37" i="1" s="1"/>
  <c r="AN37" i="1"/>
  <c r="AV36" i="1"/>
  <c r="AU36" i="1"/>
  <c r="AT36" i="1"/>
  <c r="AS36" i="1"/>
  <c r="AR36" i="1"/>
  <c r="AQ36" i="1"/>
  <c r="AP36" i="1"/>
  <c r="AO36" i="1"/>
  <c r="AN36" i="1"/>
  <c r="AG59" i="1" l="1"/>
  <c r="AC63" i="1"/>
  <c r="AE59" i="1"/>
  <c r="AB53" i="1"/>
  <c r="AE46" i="1"/>
  <c r="AF38" i="1"/>
  <c r="AE38" i="1"/>
  <c r="AC38" i="1"/>
  <c r="AB38" i="1"/>
  <c r="AF41" i="1"/>
  <c r="AG45" i="1"/>
  <c r="AC58" i="1"/>
  <c r="AF47" i="1"/>
  <c r="AG47" i="1" s="1"/>
  <c r="AE44" i="1"/>
  <c r="AE41" i="1"/>
  <c r="AB41" i="1"/>
  <c r="AG49" i="1"/>
  <c r="AE61" i="1"/>
  <c r="AD47" i="1"/>
  <c r="AB61" i="1"/>
  <c r="AG61" i="1" s="1"/>
  <c r="AF57" i="1"/>
  <c r="AC54" i="1"/>
  <c r="AC47" i="1"/>
  <c r="AF43" i="1"/>
  <c r="AG43" i="1" s="1"/>
  <c r="AE40" i="1"/>
  <c r="AE57" i="1"/>
  <c r="AB54" i="1"/>
  <c r="AG54" i="1" s="1"/>
  <c r="AF50" i="1"/>
  <c r="AE43" i="1"/>
  <c r="AD40" i="1"/>
  <c r="AF63" i="1"/>
  <c r="AG63" i="1" s="1"/>
  <c r="AB57" i="1"/>
  <c r="AE50" i="1"/>
  <c r="AD43" i="1"/>
  <c r="AF53" i="1"/>
  <c r="AC50" i="1"/>
  <c r="AC43" i="1"/>
  <c r="AF39" i="1"/>
  <c r="AG39" i="1" s="1"/>
  <c r="AE63" i="1"/>
  <c r="AE56" i="1"/>
  <c r="AE53" i="1"/>
  <c r="AB50" i="1"/>
  <c r="AG50" i="1" s="1"/>
  <c r="AF46" i="1"/>
  <c r="AG46" i="1" s="1"/>
  <c r="AE39" i="1"/>
  <c r="AE60" i="1"/>
  <c r="AD60" i="1"/>
  <c r="AD56" i="1"/>
  <c r="AD52" i="1"/>
  <c r="AD48" i="1"/>
  <c r="AD44" i="1"/>
  <c r="AD61" i="1"/>
  <c r="AC60" i="1"/>
  <c r="AD57" i="1"/>
  <c r="AC56" i="1"/>
  <c r="AD53" i="1"/>
  <c r="AC52" i="1"/>
  <c r="AD49" i="1"/>
  <c r="AC48" i="1"/>
  <c r="AD45" i="1"/>
  <c r="AC44" i="1"/>
  <c r="AD41" i="1"/>
  <c r="AC40" i="1"/>
  <c r="AF60" i="1"/>
  <c r="AG60" i="1" s="1"/>
  <c r="AF56" i="1"/>
  <c r="AG56" i="1" s="1"/>
  <c r="AF52" i="1"/>
  <c r="AG52" i="1" s="1"/>
  <c r="AF48" i="1"/>
  <c r="AG48" i="1" s="1"/>
  <c r="AF44" i="1"/>
  <c r="AG44" i="1" s="1"/>
  <c r="AF40" i="1"/>
  <c r="AG40" i="1" s="1"/>
  <c r="AD39" i="1"/>
  <c r="AC39" i="1"/>
  <c r="AD37" i="1"/>
  <c r="AT37" i="1" s="1"/>
  <c r="AS37" i="1"/>
  <c r="AB37" i="1"/>
  <c r="AV37" i="1"/>
  <c r="AU37" i="1"/>
  <c r="AC37" i="1"/>
  <c r="AJ37" i="1"/>
  <c r="Y28" i="1"/>
  <c r="AC28" i="1" s="1"/>
  <c r="Y29" i="1"/>
  <c r="AD29" i="1" s="1"/>
  <c r="Y30" i="1"/>
  <c r="AE30" i="1" s="1"/>
  <c r="E28" i="1"/>
  <c r="E29" i="1"/>
  <c r="E30" i="1"/>
  <c r="Q103" i="5"/>
  <c r="U103" i="5" s="1"/>
  <c r="Q104" i="5"/>
  <c r="U104" i="5" s="1"/>
  <c r="Q105" i="5"/>
  <c r="S105" i="5" s="1"/>
  <c r="Q79" i="5"/>
  <c r="U79" i="5" s="1"/>
  <c r="Q80" i="5"/>
  <c r="U80" i="5" s="1"/>
  <c r="Q81" i="5"/>
  <c r="U81" i="5" s="1"/>
  <c r="Q82" i="5"/>
  <c r="U82" i="5" s="1"/>
  <c r="Q83" i="5"/>
  <c r="U83" i="5" s="1"/>
  <c r="S83" i="5"/>
  <c r="Q84" i="5"/>
  <c r="U84" i="5" s="1"/>
  <c r="Q85" i="5"/>
  <c r="U85" i="5" s="1"/>
  <c r="Q86" i="5"/>
  <c r="U86" i="5" s="1"/>
  <c r="Q87" i="5"/>
  <c r="U87" i="5" s="1"/>
  <c r="Q88" i="5"/>
  <c r="U88" i="5" s="1"/>
  <c r="Q89" i="5"/>
  <c r="U89" i="5" s="1"/>
  <c r="Q90" i="5"/>
  <c r="U90" i="5" s="1"/>
  <c r="Q91" i="5"/>
  <c r="U91" i="5" s="1"/>
  <c r="Q92" i="5"/>
  <c r="U92" i="5" s="1"/>
  <c r="Q93" i="5"/>
  <c r="U93" i="5" s="1"/>
  <c r="S93" i="5"/>
  <c r="Q94" i="5"/>
  <c r="U94" i="5" s="1"/>
  <c r="Q95" i="5"/>
  <c r="U95" i="5" s="1"/>
  <c r="Q96" i="5"/>
  <c r="U96" i="5" s="1"/>
  <c r="Q97" i="5"/>
  <c r="U97" i="5" s="1"/>
  <c r="Q98" i="5"/>
  <c r="U98" i="5" s="1"/>
  <c r="Q99" i="5"/>
  <c r="U99" i="5" s="1"/>
  <c r="Q100" i="5"/>
  <c r="U100" i="5" s="1"/>
  <c r="Q101" i="5"/>
  <c r="U101" i="5" s="1"/>
  <c r="Q102" i="5"/>
  <c r="U102" i="5" s="1"/>
  <c r="Q78" i="5"/>
  <c r="T78" i="5" s="1"/>
  <c r="E32" i="5"/>
  <c r="Q32" i="5"/>
  <c r="S32" i="5" s="1"/>
  <c r="E31" i="5"/>
  <c r="Q31" i="5"/>
  <c r="U31" i="5" s="1"/>
  <c r="S31" i="5"/>
  <c r="T31" i="5"/>
  <c r="E30" i="5"/>
  <c r="Q30" i="5"/>
  <c r="T30" i="5" s="1"/>
  <c r="S30" i="5"/>
  <c r="E5" i="5"/>
  <c r="AG53" i="1" l="1"/>
  <c r="T32" i="5"/>
  <c r="AG41" i="1"/>
  <c r="AG57" i="1"/>
  <c r="S91" i="5"/>
  <c r="T83" i="5"/>
  <c r="S97" i="5"/>
  <c r="T93" i="5"/>
  <c r="T91" i="5"/>
  <c r="AG37" i="1"/>
  <c r="AO37" i="1" s="1"/>
  <c r="AR37" i="1"/>
  <c r="AQ37" i="1"/>
  <c r="S104" i="5"/>
  <c r="AF30" i="1"/>
  <c r="T81" i="5"/>
  <c r="S81" i="5"/>
  <c r="T97" i="5"/>
  <c r="T79" i="5"/>
  <c r="AC30" i="1"/>
  <c r="S79" i="5"/>
  <c r="AB30" i="1"/>
  <c r="AF29" i="1"/>
  <c r="U30" i="5"/>
  <c r="T95" i="5"/>
  <c r="T85" i="5"/>
  <c r="S95" i="5"/>
  <c r="S85" i="5"/>
  <c r="AC29" i="1"/>
  <c r="AB29" i="1"/>
  <c r="AF28" i="1"/>
  <c r="AE28" i="1"/>
  <c r="AB28" i="1"/>
  <c r="AE29" i="1"/>
  <c r="AJ30" i="1"/>
  <c r="AD30" i="1"/>
  <c r="AJ29" i="1"/>
  <c r="AJ28" i="1"/>
  <c r="AD28" i="1"/>
  <c r="U105" i="5"/>
  <c r="T105" i="5"/>
  <c r="T104" i="5"/>
  <c r="T103" i="5"/>
  <c r="S103" i="5"/>
  <c r="S101" i="5"/>
  <c r="S100" i="5"/>
  <c r="T98" i="5"/>
  <c r="S98" i="5"/>
  <c r="T101" i="5"/>
  <c r="T102" i="5"/>
  <c r="T99" i="5"/>
  <c r="S102" i="5"/>
  <c r="S99" i="5"/>
  <c r="T96" i="5"/>
  <c r="S96" i="5"/>
  <c r="T94" i="5"/>
  <c r="S94" i="5"/>
  <c r="T92" i="5"/>
  <c r="S92" i="5"/>
  <c r="T90" i="5"/>
  <c r="S90" i="5"/>
  <c r="S89" i="5"/>
  <c r="T89" i="5"/>
  <c r="S88" i="5"/>
  <c r="T88" i="5"/>
  <c r="T87" i="5"/>
  <c r="S87" i="5"/>
  <c r="T86" i="5"/>
  <c r="S86" i="5"/>
  <c r="T84" i="5"/>
  <c r="S84" i="5"/>
  <c r="T82" i="5"/>
  <c r="S82" i="5"/>
  <c r="T80" i="5"/>
  <c r="S80" i="5"/>
  <c r="T100" i="5"/>
  <c r="U78" i="5"/>
  <c r="S78" i="5"/>
  <c r="U32" i="5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09" i="1"/>
  <c r="Y132" i="1"/>
  <c r="AD132" i="1" s="1"/>
  <c r="Y133" i="1"/>
  <c r="AB133" i="1" s="1"/>
  <c r="Y134" i="1"/>
  <c r="AE134" i="1" s="1"/>
  <c r="AC133" i="1"/>
  <c r="AD133" i="1"/>
  <c r="AC134" i="1"/>
  <c r="Y116" i="1"/>
  <c r="AB116" i="1" s="1"/>
  <c r="AG116" i="1"/>
  <c r="Y117" i="1"/>
  <c r="AB117" i="1" s="1"/>
  <c r="Y118" i="1"/>
  <c r="AE118" i="1" s="1"/>
  <c r="Y119" i="1"/>
  <c r="AB119" i="1" s="1"/>
  <c r="Y120" i="1"/>
  <c r="AB120" i="1" s="1"/>
  <c r="Y121" i="1"/>
  <c r="AC121" i="1" s="1"/>
  <c r="Y122" i="1"/>
  <c r="AB122" i="1" s="1"/>
  <c r="Y123" i="1"/>
  <c r="AG123" i="1" s="1"/>
  <c r="Y124" i="1"/>
  <c r="AC124" i="1" s="1"/>
  <c r="Y125" i="1"/>
  <c r="AB125" i="1" s="1"/>
  <c r="Y126" i="1"/>
  <c r="AE126" i="1" s="1"/>
  <c r="Y127" i="1"/>
  <c r="AB127" i="1" s="1"/>
  <c r="Y128" i="1"/>
  <c r="AB128" i="1" s="1"/>
  <c r="Y129" i="1"/>
  <c r="AC129" i="1" s="1"/>
  <c r="Y130" i="1"/>
  <c r="AB130" i="1" s="1"/>
  <c r="Y131" i="1"/>
  <c r="AB131" i="1" s="1"/>
  <c r="AD111" i="1"/>
  <c r="Y110" i="1"/>
  <c r="AF110" i="1" s="1"/>
  <c r="Y111" i="1"/>
  <c r="AB111" i="1" s="1"/>
  <c r="Y112" i="1"/>
  <c r="AE112" i="1" s="1"/>
  <c r="Y113" i="1"/>
  <c r="AD113" i="1" s="1"/>
  <c r="Y114" i="1"/>
  <c r="AF114" i="1" s="1"/>
  <c r="Y115" i="1"/>
  <c r="AB115" i="1" s="1"/>
  <c r="Y109" i="1"/>
  <c r="AC109" i="1" s="1"/>
  <c r="Y88" i="1"/>
  <c r="AC88" i="1" s="1"/>
  <c r="AG28" i="1" l="1"/>
  <c r="AG30" i="1"/>
  <c r="AB109" i="1"/>
  <c r="AD115" i="1"/>
  <c r="AE109" i="1"/>
  <c r="AG112" i="1"/>
  <c r="AC112" i="1"/>
  <c r="AP37" i="1"/>
  <c r="AB88" i="1"/>
  <c r="AD88" i="1"/>
  <c r="AF123" i="1"/>
  <c r="AC132" i="1"/>
  <c r="AF116" i="1"/>
  <c r="AF128" i="1"/>
  <c r="AE132" i="1"/>
  <c r="AE123" i="1"/>
  <c r="AG29" i="1"/>
  <c r="AG113" i="1"/>
  <c r="AF132" i="1"/>
  <c r="AG109" i="1"/>
  <c r="AB113" i="1"/>
  <c r="AB112" i="1"/>
  <c r="AG132" i="1"/>
  <c r="AB132" i="1"/>
  <c r="AF129" i="1"/>
  <c r="AF120" i="1"/>
  <c r="AD109" i="1"/>
  <c r="AC115" i="1"/>
  <c r="AD112" i="1"/>
  <c r="AC111" i="1"/>
  <c r="AF109" i="1"/>
  <c r="AF125" i="1"/>
  <c r="AF112" i="1"/>
  <c r="AE114" i="1"/>
  <c r="AE110" i="1"/>
  <c r="AD114" i="1"/>
  <c r="AD110" i="1"/>
  <c r="AE115" i="1"/>
  <c r="AG114" i="1"/>
  <c r="AB114" i="1"/>
  <c r="AC113" i="1"/>
  <c r="AE111" i="1"/>
  <c r="AG110" i="1"/>
  <c r="AB110" i="1"/>
  <c r="AB124" i="1"/>
  <c r="AE117" i="1"/>
  <c r="AD134" i="1"/>
  <c r="AE133" i="1"/>
  <c r="AF133" i="1"/>
  <c r="AF121" i="1"/>
  <c r="AF117" i="1"/>
  <c r="AF113" i="1"/>
  <c r="AF124" i="1"/>
  <c r="AE113" i="1"/>
  <c r="AB134" i="1"/>
  <c r="AF131" i="1"/>
  <c r="AF127" i="1"/>
  <c r="AF119" i="1"/>
  <c r="AF115" i="1"/>
  <c r="AF111" i="1"/>
  <c r="AG115" i="1"/>
  <c r="AC114" i="1"/>
  <c r="AG111" i="1"/>
  <c r="AC110" i="1"/>
  <c r="AD123" i="1"/>
  <c r="AG120" i="1"/>
  <c r="AG117" i="1"/>
  <c r="AG133" i="1"/>
  <c r="AF134" i="1"/>
  <c r="AF130" i="1"/>
  <c r="AF126" i="1"/>
  <c r="AF122" i="1"/>
  <c r="AF118" i="1"/>
  <c r="AG134" i="1"/>
  <c r="AG131" i="1"/>
  <c r="AE131" i="1"/>
  <c r="AD131" i="1"/>
  <c r="AC131" i="1"/>
  <c r="AE124" i="1"/>
  <c r="AG124" i="1"/>
  <c r="AD124" i="1"/>
  <c r="AC123" i="1"/>
  <c r="AB123" i="1"/>
  <c r="AG122" i="1"/>
  <c r="AC122" i="1"/>
  <c r="AD122" i="1"/>
  <c r="AE122" i="1"/>
  <c r="AB121" i="1"/>
  <c r="AE120" i="1"/>
  <c r="AD120" i="1"/>
  <c r="AC120" i="1"/>
  <c r="AG119" i="1"/>
  <c r="AE119" i="1"/>
  <c r="AD119" i="1"/>
  <c r="AC119" i="1"/>
  <c r="AC118" i="1"/>
  <c r="AD118" i="1"/>
  <c r="AB118" i="1"/>
  <c r="AD126" i="1"/>
  <c r="AG130" i="1"/>
  <c r="AE130" i="1"/>
  <c r="AD117" i="1"/>
  <c r="AD130" i="1"/>
  <c r="AC130" i="1"/>
  <c r="AC117" i="1"/>
  <c r="AC126" i="1"/>
  <c r="AB129" i="1"/>
  <c r="AG127" i="1"/>
  <c r="AE127" i="1"/>
  <c r="AD127" i="1"/>
  <c r="AE116" i="1"/>
  <c r="AC127" i="1"/>
  <c r="AD116" i="1"/>
  <c r="AC116" i="1"/>
  <c r="AB126" i="1"/>
  <c r="AG125" i="1"/>
  <c r="AE125" i="1"/>
  <c r="AD125" i="1"/>
  <c r="AG128" i="1"/>
  <c r="AC128" i="1"/>
  <c r="AC125" i="1"/>
  <c r="AE128" i="1"/>
  <c r="AD128" i="1"/>
  <c r="AG118" i="1"/>
  <c r="AG129" i="1"/>
  <c r="AG121" i="1"/>
  <c r="AE129" i="1"/>
  <c r="AE121" i="1"/>
  <c r="AD129" i="1"/>
  <c r="AG126" i="1"/>
  <c r="AD121" i="1"/>
  <c r="E6" i="5" l="1"/>
  <c r="E7" i="5"/>
  <c r="E8" i="5"/>
  <c r="E11" i="5"/>
  <c r="E12" i="5"/>
  <c r="E13" i="5"/>
  <c r="E14" i="5"/>
  <c r="E15" i="5"/>
  <c r="E16" i="5"/>
  <c r="E17" i="5"/>
  <c r="E18" i="5"/>
  <c r="E19" i="5"/>
  <c r="E20" i="5"/>
  <c r="E21" i="5"/>
  <c r="E23" i="5"/>
  <c r="E24" i="5"/>
  <c r="E25" i="5"/>
  <c r="E26" i="5"/>
  <c r="E27" i="5"/>
  <c r="E28" i="5"/>
  <c r="E29" i="5"/>
  <c r="Q28" i="5"/>
  <c r="S28" i="5" s="1"/>
  <c r="Q29" i="5"/>
  <c r="S29" i="5" s="1"/>
  <c r="T29" i="5"/>
  <c r="Q21" i="5"/>
  <c r="U21" i="5" s="1"/>
  <c r="Q22" i="5"/>
  <c r="S22" i="5" s="1"/>
  <c r="Q23" i="5"/>
  <c r="S23" i="5" s="1"/>
  <c r="Q24" i="5"/>
  <c r="U24" i="5" s="1"/>
  <c r="Q25" i="5"/>
  <c r="S25" i="5" s="1"/>
  <c r="Q26" i="5"/>
  <c r="S26" i="5" s="1"/>
  <c r="Q27" i="5"/>
  <c r="S27" i="5" s="1"/>
  <c r="Q12" i="5"/>
  <c r="S12" i="5" s="1"/>
  <c r="Q13" i="5"/>
  <c r="S13" i="5" s="1"/>
  <c r="Q14" i="5"/>
  <c r="S14" i="5" s="1"/>
  <c r="Q15" i="5"/>
  <c r="S15" i="5" s="1"/>
  <c r="Q16" i="5"/>
  <c r="S16" i="5" s="1"/>
  <c r="Q17" i="5"/>
  <c r="S17" i="5" s="1"/>
  <c r="Q18" i="5"/>
  <c r="T18" i="5" s="1"/>
  <c r="Q19" i="5"/>
  <c r="S19" i="5" s="1"/>
  <c r="Q20" i="5"/>
  <c r="S20" i="5" s="1"/>
  <c r="Q6" i="5"/>
  <c r="U6" i="5" s="1"/>
  <c r="Q7" i="5"/>
  <c r="U7" i="5" s="1"/>
  <c r="Q8" i="5"/>
  <c r="S8" i="5" s="1"/>
  <c r="Q9" i="5"/>
  <c r="T9" i="5" s="1"/>
  <c r="Q10" i="5"/>
  <c r="T10" i="5" s="1"/>
  <c r="Q11" i="5"/>
  <c r="T11" i="5" s="1"/>
  <c r="Q5" i="5"/>
  <c r="S21" i="5" l="1"/>
  <c r="T5" i="5"/>
  <c r="S5" i="5"/>
  <c r="S7" i="5"/>
  <c r="U29" i="5"/>
  <c r="U28" i="5"/>
  <c r="T21" i="5"/>
  <c r="U12" i="5"/>
  <c r="T7" i="5"/>
  <c r="T6" i="5"/>
  <c r="S6" i="5"/>
  <c r="U5" i="5"/>
  <c r="S9" i="5"/>
  <c r="U8" i="5"/>
  <c r="T8" i="5"/>
  <c r="T12" i="5"/>
  <c r="T28" i="5"/>
  <c r="U9" i="5"/>
  <c r="U25" i="5"/>
  <c r="T25" i="5"/>
  <c r="S24" i="5"/>
  <c r="T24" i="5"/>
  <c r="U23" i="5"/>
  <c r="T23" i="5"/>
  <c r="U27" i="5"/>
  <c r="T27" i="5"/>
  <c r="U22" i="5"/>
  <c r="U26" i="5"/>
  <c r="T22" i="5"/>
  <c r="T26" i="5"/>
  <c r="T20" i="5"/>
  <c r="U20" i="5"/>
  <c r="U19" i="5"/>
  <c r="T19" i="5"/>
  <c r="S18" i="5"/>
  <c r="U17" i="5"/>
  <c r="T17" i="5"/>
  <c r="U16" i="5"/>
  <c r="T16" i="5"/>
  <c r="U15" i="5"/>
  <c r="T15" i="5"/>
  <c r="U14" i="5"/>
  <c r="U18" i="5"/>
  <c r="T14" i="5"/>
  <c r="U13" i="5"/>
  <c r="T13" i="5"/>
  <c r="U11" i="5"/>
  <c r="S11" i="5"/>
  <c r="U10" i="5"/>
  <c r="S10" i="5"/>
  <c r="Y101" i="1"/>
  <c r="AB101" i="1" s="1"/>
  <c r="Y102" i="1"/>
  <c r="Y103" i="1"/>
  <c r="Y97" i="1"/>
  <c r="AE97" i="1" s="1"/>
  <c r="Y91" i="1"/>
  <c r="AB91" i="1" s="1"/>
  <c r="Y92" i="1"/>
  <c r="AD92" i="1" s="1"/>
  <c r="Y93" i="1"/>
  <c r="AB93" i="1" s="1"/>
  <c r="Y94" i="1"/>
  <c r="AF94" i="1" s="1"/>
  <c r="Y95" i="1"/>
  <c r="AD95" i="1" s="1"/>
  <c r="Y96" i="1"/>
  <c r="AB96" i="1" s="1"/>
  <c r="Y98" i="1"/>
  <c r="AC98" i="1" s="1"/>
  <c r="Y99" i="1"/>
  <c r="AB99" i="1" s="1"/>
  <c r="Y100" i="1"/>
  <c r="AD100" i="1" s="1"/>
  <c r="E91" i="1"/>
  <c r="E92" i="1"/>
  <c r="E93" i="1"/>
  <c r="E94" i="1"/>
  <c r="E95" i="1"/>
  <c r="E96" i="1"/>
  <c r="E97" i="1"/>
  <c r="E98" i="1"/>
  <c r="E99" i="1"/>
  <c r="E100" i="1"/>
  <c r="E101" i="1"/>
  <c r="AE99" i="1" l="1"/>
  <c r="AC99" i="1"/>
  <c r="AC97" i="1"/>
  <c r="AE94" i="1"/>
  <c r="AF97" i="1"/>
  <c r="AC94" i="1"/>
  <c r="AB94" i="1"/>
  <c r="AG94" i="1" s="1"/>
  <c r="AC100" i="1"/>
  <c r="AE101" i="1"/>
  <c r="AB100" i="1"/>
  <c r="AB97" i="1"/>
  <c r="AG97" i="1" s="1"/>
  <c r="AD94" i="1"/>
  <c r="AD101" i="1"/>
  <c r="AF95" i="1"/>
  <c r="AF100" i="1"/>
  <c r="AD99" i="1"/>
  <c r="AD97" i="1"/>
  <c r="AB95" i="1"/>
  <c r="AD91" i="1"/>
  <c r="AF98" i="1"/>
  <c r="AB98" i="1"/>
  <c r="AE96" i="1"/>
  <c r="AC95" i="1"/>
  <c r="AE93" i="1"/>
  <c r="AC92" i="1"/>
  <c r="AE91" i="1"/>
  <c r="AE98" i="1"/>
  <c r="AD96" i="1"/>
  <c r="AD93" i="1"/>
  <c r="AF92" i="1"/>
  <c r="AB92" i="1"/>
  <c r="AG92" i="1" s="1"/>
  <c r="AC101" i="1"/>
  <c r="AE100" i="1"/>
  <c r="AD98" i="1"/>
  <c r="AC96" i="1"/>
  <c r="AE95" i="1"/>
  <c r="AC93" i="1"/>
  <c r="AE92" i="1"/>
  <c r="AC91" i="1"/>
  <c r="AF101" i="1"/>
  <c r="AG101" i="1" s="1"/>
  <c r="AF99" i="1"/>
  <c r="AG99" i="1" s="1"/>
  <c r="AF96" i="1"/>
  <c r="AG96" i="1" s="1"/>
  <c r="AF93" i="1"/>
  <c r="AG93" i="1" s="1"/>
  <c r="AF91" i="1"/>
  <c r="AG91" i="1" s="1"/>
  <c r="E25" i="1"/>
  <c r="E24" i="1"/>
  <c r="E23" i="1"/>
  <c r="E22" i="1"/>
  <c r="E17" i="1"/>
  <c r="E15" i="1"/>
  <c r="E16" i="1"/>
  <c r="E18" i="1"/>
  <c r="E19" i="1"/>
  <c r="E20" i="1"/>
  <c r="E21" i="1"/>
  <c r="Y15" i="1"/>
  <c r="AF15" i="1" s="1"/>
  <c r="Y16" i="1"/>
  <c r="AB16" i="1" s="1"/>
  <c r="Y17" i="1"/>
  <c r="AB17" i="1" s="1"/>
  <c r="Y18" i="1"/>
  <c r="AD18" i="1" s="1"/>
  <c r="Y19" i="1"/>
  <c r="AB19" i="1" s="1"/>
  <c r="Y20" i="1"/>
  <c r="AJ20" i="1" s="1"/>
  <c r="E14" i="1"/>
  <c r="E13" i="1"/>
  <c r="Y12" i="1"/>
  <c r="AD12" i="1" s="1"/>
  <c r="Y13" i="1"/>
  <c r="AC13" i="1" s="1"/>
  <c r="Y14" i="1"/>
  <c r="AJ14" i="1" s="1"/>
  <c r="Y21" i="1"/>
  <c r="AF21" i="1" s="1"/>
  <c r="Y22" i="1"/>
  <c r="AJ22" i="1" s="1"/>
  <c r="Y23" i="1"/>
  <c r="AB23" i="1" s="1"/>
  <c r="Y24" i="1"/>
  <c r="AC24" i="1" s="1"/>
  <c r="Y25" i="1"/>
  <c r="AB25" i="1" s="1"/>
  <c r="E12" i="1"/>
  <c r="E11" i="1"/>
  <c r="E10" i="1"/>
  <c r="E9" i="1"/>
  <c r="Y9" i="1"/>
  <c r="AD9" i="1" s="1"/>
  <c r="Y10" i="1"/>
  <c r="AJ10" i="1" s="1"/>
  <c r="Y11" i="1"/>
  <c r="AJ11" i="1" s="1"/>
  <c r="Y26" i="1"/>
  <c r="Y27" i="1"/>
  <c r="Y8" i="1"/>
  <c r="AG95" i="1" l="1"/>
  <c r="AE20" i="1"/>
  <c r="AD20" i="1"/>
  <c r="AC20" i="1"/>
  <c r="AF14" i="1"/>
  <c r="AE14" i="1"/>
  <c r="AD14" i="1"/>
  <c r="AJ13" i="1"/>
  <c r="AC12" i="1"/>
  <c r="AB12" i="1"/>
  <c r="AJ12" i="1"/>
  <c r="AG98" i="1"/>
  <c r="AG100" i="1"/>
  <c r="AC10" i="1"/>
  <c r="AC9" i="1"/>
  <c r="AE9" i="1"/>
  <c r="AF9" i="1"/>
  <c r="AB9" i="1"/>
  <c r="AJ9" i="1"/>
  <c r="AE15" i="1"/>
  <c r="AB14" i="1"/>
  <c r="AD15" i="1"/>
  <c r="AC15" i="1"/>
  <c r="AJ21" i="1"/>
  <c r="AD21" i="1"/>
  <c r="AF13" i="1"/>
  <c r="AE12" i="1"/>
  <c r="AC14" i="1"/>
  <c r="AE21" i="1"/>
  <c r="AB13" i="1"/>
  <c r="AF22" i="1"/>
  <c r="AC21" i="1"/>
  <c r="AF12" i="1"/>
  <c r="AB21" i="1"/>
  <c r="AF20" i="1"/>
  <c r="AG21" i="1"/>
  <c r="AE22" i="1"/>
  <c r="AD22" i="1"/>
  <c r="AC22" i="1"/>
  <c r="AB22" i="1"/>
  <c r="AJ17" i="1"/>
  <c r="AF23" i="1"/>
  <c r="AG23" i="1" s="1"/>
  <c r="AE23" i="1"/>
  <c r="AF17" i="1"/>
  <c r="AG17" i="1" s="1"/>
  <c r="AB15" i="1"/>
  <c r="AG15" i="1" s="1"/>
  <c r="AE17" i="1"/>
  <c r="AF11" i="1"/>
  <c r="AD17" i="1"/>
  <c r="AE11" i="1"/>
  <c r="AB20" i="1"/>
  <c r="AC17" i="1"/>
  <c r="AD11" i="1"/>
  <c r="AF19" i="1"/>
  <c r="AG19" i="1" s="1"/>
  <c r="AC11" i="1"/>
  <c r="AJ19" i="1"/>
  <c r="AE19" i="1"/>
  <c r="AG14" i="1"/>
  <c r="AB11" i="1"/>
  <c r="AJ18" i="1"/>
  <c r="AD19" i="1"/>
  <c r="AF16" i="1"/>
  <c r="AG16" i="1" s="1"/>
  <c r="AG13" i="1"/>
  <c r="AC19" i="1"/>
  <c r="AE16" i="1"/>
  <c r="AE13" i="1"/>
  <c r="AF10" i="1"/>
  <c r="AJ16" i="1"/>
  <c r="AD16" i="1"/>
  <c r="AD13" i="1"/>
  <c r="AE10" i="1"/>
  <c r="AJ15" i="1"/>
  <c r="AC16" i="1"/>
  <c r="AD10" i="1"/>
  <c r="AD23" i="1"/>
  <c r="AC23" i="1"/>
  <c r="AC18" i="1"/>
  <c r="AB18" i="1"/>
  <c r="AF18" i="1"/>
  <c r="AE18" i="1"/>
  <c r="AB10" i="1"/>
  <c r="AF25" i="1"/>
  <c r="AG25" i="1" s="1"/>
  <c r="AE25" i="1"/>
  <c r="AD25" i="1"/>
  <c r="AC25" i="1"/>
  <c r="AF24" i="1"/>
  <c r="AE24" i="1"/>
  <c r="AB24" i="1"/>
  <c r="AD24" i="1"/>
  <c r="AF8" i="1"/>
  <c r="AV87" i="1"/>
  <c r="AU87" i="1"/>
  <c r="AT87" i="1"/>
  <c r="AS87" i="1"/>
  <c r="AR87" i="1"/>
  <c r="AQ87" i="1"/>
  <c r="AP87" i="1"/>
  <c r="AN87" i="1"/>
  <c r="AV3" i="1"/>
  <c r="AU3" i="1"/>
  <c r="AT3" i="1"/>
  <c r="AS3" i="1"/>
  <c r="AR3" i="1"/>
  <c r="AQ3" i="1"/>
  <c r="AP3" i="1"/>
  <c r="AO3" i="1"/>
  <c r="AN3" i="1"/>
  <c r="AD8" i="1"/>
  <c r="E89" i="1"/>
  <c r="AN89" i="1" s="1"/>
  <c r="E90" i="1"/>
  <c r="E102" i="1"/>
  <c r="E103" i="1"/>
  <c r="E88" i="1"/>
  <c r="E26" i="1"/>
  <c r="Y84" i="1"/>
  <c r="AF84" i="1" s="1"/>
  <c r="Y83" i="1"/>
  <c r="AF83" i="1" s="1"/>
  <c r="Y82" i="1"/>
  <c r="AJ82" i="1" s="1"/>
  <c r="Y81" i="1"/>
  <c r="AB81" i="1" s="1"/>
  <c r="E5" i="1"/>
  <c r="AN5" i="1" s="1"/>
  <c r="E6" i="1"/>
  <c r="AN6" i="1" s="1"/>
  <c r="E7" i="1"/>
  <c r="E27" i="1"/>
  <c r="E4" i="1"/>
  <c r="AB27" i="1"/>
  <c r="AF26" i="1"/>
  <c r="AJ88" i="1"/>
  <c r="Y89" i="1"/>
  <c r="AD89" i="1" s="1"/>
  <c r="Y90" i="1"/>
  <c r="AD90" i="1" s="1"/>
  <c r="AD102" i="1"/>
  <c r="AD103" i="1"/>
  <c r="Y5" i="1"/>
  <c r="AF5" i="1" s="1"/>
  <c r="Y6" i="1"/>
  <c r="AJ6" i="1" s="1"/>
  <c r="Y7" i="1"/>
  <c r="AD7" i="1" s="1"/>
  <c r="Y4" i="1"/>
  <c r="AF4" i="1" s="1"/>
  <c r="AN27" i="1" l="1"/>
  <c r="AG24" i="1"/>
  <c r="AG12" i="1"/>
  <c r="AG9" i="1"/>
  <c r="AG18" i="1"/>
  <c r="AG22" i="1"/>
  <c r="AG20" i="1"/>
  <c r="AG11" i="1"/>
  <c r="AG10" i="1"/>
  <c r="AD84" i="1"/>
  <c r="AS102" i="1"/>
  <c r="AN88" i="1"/>
  <c r="AD83" i="1"/>
  <c r="AN103" i="1"/>
  <c r="AN102" i="1"/>
  <c r="AN90" i="1"/>
  <c r="AT103" i="1"/>
  <c r="AS103" i="1"/>
  <c r="AS89" i="1"/>
  <c r="AT89" i="1"/>
  <c r="AS90" i="1"/>
  <c r="AN7" i="1"/>
  <c r="AN8" i="1"/>
  <c r="AD5" i="1"/>
  <c r="AS5" i="1" s="1"/>
  <c r="AD27" i="1"/>
  <c r="AN4" i="1"/>
  <c r="AS8" i="1"/>
  <c r="AN26" i="1"/>
  <c r="AD6" i="1"/>
  <c r="AD82" i="1"/>
  <c r="AD81" i="1"/>
  <c r="AD26" i="1"/>
  <c r="AS7" i="1"/>
  <c r="AF27" i="1"/>
  <c r="AG27" i="1" s="1"/>
  <c r="AF7" i="1"/>
  <c r="AD4" i="1"/>
  <c r="AF6" i="1"/>
  <c r="AF82" i="1"/>
  <c r="AF81" i="1"/>
  <c r="AG81" i="1" s="1"/>
  <c r="AO87" i="1"/>
  <c r="AJ5" i="1"/>
  <c r="AE82" i="1"/>
  <c r="AJ89" i="1"/>
  <c r="AC82" i="1"/>
  <c r="AJ4" i="1"/>
  <c r="AJ81" i="1"/>
  <c r="AC83" i="1"/>
  <c r="AB83" i="1"/>
  <c r="AB82" i="1"/>
  <c r="AJ83" i="1"/>
  <c r="AE81" i="1"/>
  <c r="AJ26" i="1"/>
  <c r="AJ103" i="1"/>
  <c r="AC81" i="1"/>
  <c r="AE84" i="1"/>
  <c r="AJ8" i="1"/>
  <c r="AJ102" i="1"/>
  <c r="AE83" i="1"/>
  <c r="AC84" i="1"/>
  <c r="AJ7" i="1"/>
  <c r="AB84" i="1"/>
  <c r="AJ84" i="1"/>
  <c r="AJ90" i="1"/>
  <c r="AJ27" i="1"/>
  <c r="AE27" i="1"/>
  <c r="AC27" i="1"/>
  <c r="AS88" i="1" l="1"/>
  <c r="AS27" i="1"/>
  <c r="AT102" i="1"/>
  <c r="AT88" i="1"/>
  <c r="AT90" i="1"/>
  <c r="AT5" i="1"/>
  <c r="AT27" i="1"/>
  <c r="AT7" i="1"/>
  <c r="AT8" i="1"/>
  <c r="AT6" i="1"/>
  <c r="AS6" i="1"/>
  <c r="AV27" i="1"/>
  <c r="AU27" i="1"/>
  <c r="AS4" i="1"/>
  <c r="AT4" i="1"/>
  <c r="AS26" i="1"/>
  <c r="AT26" i="1"/>
  <c r="AR27" i="1"/>
  <c r="AQ27" i="1"/>
  <c r="AP27" i="1"/>
  <c r="AO27" i="1"/>
  <c r="AG83" i="1"/>
  <c r="AG82" i="1"/>
  <c r="AG84" i="1"/>
  <c r="AE88" i="1" l="1"/>
  <c r="AB89" i="1"/>
  <c r="AB90" i="1"/>
  <c r="AE102" i="1"/>
  <c r="AB103" i="1"/>
  <c r="AE4" i="1"/>
  <c r="F3" i="3"/>
  <c r="AU88" i="1" l="1"/>
  <c r="AV88" i="1"/>
  <c r="AU102" i="1"/>
  <c r="AV102" i="1"/>
  <c r="AU4" i="1"/>
  <c r="AV4" i="1"/>
  <c r="AE6" i="1"/>
  <c r="AB26" i="1"/>
  <c r="AG26" i="1" s="1"/>
  <c r="AB7" i="1"/>
  <c r="AG7" i="1" s="1"/>
  <c r="AB5" i="1"/>
  <c r="AG5" i="1" s="1"/>
  <c r="AE8" i="1"/>
  <c r="AF103" i="1"/>
  <c r="AG103" i="1" s="1"/>
  <c r="AF102" i="1"/>
  <c r="AF90" i="1"/>
  <c r="AG90" i="1" s="1"/>
  <c r="AF89" i="1"/>
  <c r="AG89" i="1" s="1"/>
  <c r="AF88" i="1"/>
  <c r="AE89" i="1"/>
  <c r="AC89" i="1"/>
  <c r="AE5" i="1"/>
  <c r="AC5" i="1"/>
  <c r="AC102" i="1"/>
  <c r="AB102" i="1"/>
  <c r="AB6" i="1"/>
  <c r="AG6" i="1" s="1"/>
  <c r="AB8" i="1"/>
  <c r="AG8" i="1" s="1"/>
  <c r="AC7" i="1"/>
  <c r="AC8" i="1"/>
  <c r="AE7" i="1"/>
  <c r="AC6" i="1"/>
  <c r="AE103" i="1"/>
  <c r="AE26" i="1"/>
  <c r="AC103" i="1"/>
  <c r="AC26" i="1"/>
  <c r="AB4" i="1"/>
  <c r="AG4" i="1" s="1"/>
  <c r="AC4" i="1"/>
  <c r="AE90" i="1"/>
  <c r="AC90" i="1"/>
  <c r="AG88" i="1" l="1"/>
  <c r="AO88" i="1"/>
  <c r="AP88" i="1"/>
  <c r="AO90" i="1"/>
  <c r="AP90" i="1"/>
  <c r="AU89" i="1"/>
  <c r="AV89" i="1"/>
  <c r="AO103" i="1"/>
  <c r="AP103" i="1"/>
  <c r="AU90" i="1"/>
  <c r="AV90" i="1"/>
  <c r="AQ102" i="1"/>
  <c r="AR102" i="1"/>
  <c r="AR90" i="1"/>
  <c r="AQ90" i="1"/>
  <c r="AQ89" i="1"/>
  <c r="AR89" i="1"/>
  <c r="AR88" i="1"/>
  <c r="AQ88" i="1"/>
  <c r="AR103" i="1"/>
  <c r="AQ103" i="1"/>
  <c r="AU103" i="1"/>
  <c r="AV103" i="1"/>
  <c r="AO89" i="1"/>
  <c r="AP89" i="1"/>
  <c r="AV7" i="1"/>
  <c r="AU7" i="1"/>
  <c r="AU26" i="1"/>
  <c r="AV26" i="1"/>
  <c r="AR6" i="1"/>
  <c r="AQ6" i="1"/>
  <c r="AU5" i="1"/>
  <c r="AV5" i="1"/>
  <c r="AR4" i="1"/>
  <c r="AQ4" i="1"/>
  <c r="AR7" i="1"/>
  <c r="AQ7" i="1"/>
  <c r="AQ26" i="1"/>
  <c r="AR26" i="1"/>
  <c r="AO7" i="1"/>
  <c r="AP7" i="1"/>
  <c r="AQ5" i="1"/>
  <c r="AR5" i="1"/>
  <c r="AU6" i="1"/>
  <c r="AV6" i="1"/>
  <c r="AQ8" i="1"/>
  <c r="AR8" i="1"/>
  <c r="AU8" i="1"/>
  <c r="AV8" i="1"/>
  <c r="AP26" i="1"/>
  <c r="AO26" i="1"/>
  <c r="AO5" i="1"/>
  <c r="AP5" i="1"/>
  <c r="AP8" i="1"/>
  <c r="AO8" i="1"/>
  <c r="AO6" i="1"/>
  <c r="AP6" i="1"/>
  <c r="AO4" i="1"/>
  <c r="AP4" i="1"/>
  <c r="AG102" i="1"/>
  <c r="AO102" i="1" l="1"/>
  <c r="AP102" i="1"/>
</calcChain>
</file>

<file path=xl/sharedStrings.xml><?xml version="1.0" encoding="utf-8"?>
<sst xmlns="http://schemas.openxmlformats.org/spreadsheetml/2006/main" count="452" uniqueCount="265">
  <si>
    <t>sum</t>
  </si>
  <si>
    <t>lin</t>
  </si>
  <si>
    <t>1-arm</t>
  </si>
  <si>
    <t>cyc</t>
  </si>
  <si>
    <t>2arm</t>
  </si>
  <si>
    <t>Lin+MeS</t>
  </si>
  <si>
    <t>p</t>
  </si>
  <si>
    <t>Imine</t>
  </si>
  <si>
    <t>imin+lin+iminHCO</t>
  </si>
  <si>
    <t>imine +HCHO</t>
  </si>
  <si>
    <t>time, h</t>
  </si>
  <si>
    <t>imine</t>
  </si>
  <si>
    <t>z=2</t>
  </si>
  <si>
    <t>other ions to possibly consider (intensity &lt;1E07</t>
  </si>
  <si>
    <t>day</t>
  </si>
  <si>
    <t>h</t>
  </si>
  <si>
    <t>min</t>
  </si>
  <si>
    <t>z=2, pept-DTT-HCO?</t>
  </si>
  <si>
    <t>cyc+628</t>
  </si>
  <si>
    <t>AS156-A</t>
  </si>
  <si>
    <t>Time, h</t>
  </si>
  <si>
    <t>Linear</t>
  </si>
  <si>
    <t>stdev</t>
  </si>
  <si>
    <t>cyclic</t>
  </si>
  <si>
    <t>2-arm</t>
  </si>
  <si>
    <t>AS156-B</t>
  </si>
  <si>
    <t>AS210-C1-1.raw</t>
  </si>
  <si>
    <t>AS210-C1-1_20220613200125.raw</t>
  </si>
  <si>
    <t>AS210-C1-1_20220613203747.raw</t>
  </si>
  <si>
    <t>AS210-C1-1_20220613211411.raw</t>
  </si>
  <si>
    <t>AS210-C1-1_20220613215033.raw</t>
  </si>
  <si>
    <t>AS210-C1-1_20220613222656.raw</t>
  </si>
  <si>
    <t>AS210-C1-1_20220613230317.raw</t>
  </si>
  <si>
    <t>AS210-C1-1_20220613233937.raw</t>
  </si>
  <si>
    <t>AS210-C1-1_20220614001559.raw</t>
  </si>
  <si>
    <t>AS210-C1-1_20220614005221.raw</t>
  </si>
  <si>
    <t>AS210-C1-1_20220614012842.raw</t>
  </si>
  <si>
    <t>AS210-C1-1_20220614020503.raw</t>
  </si>
  <si>
    <t>AS210-C1-1_20220614024124.raw</t>
  </si>
  <si>
    <t>AS210-C1-1_20220614031744.raw</t>
  </si>
  <si>
    <t>AS210-C1-1_20220614042011.raw</t>
  </si>
  <si>
    <t>AS210-C1-1_20220614052245.raw</t>
  </si>
  <si>
    <t>linear</t>
  </si>
  <si>
    <t>z-&gt;</t>
  </si>
  <si>
    <t>filename</t>
  </si>
  <si>
    <t>lin+ACNclust</t>
  </si>
  <si>
    <t>Cyclic p-M</t>
  </si>
  <si>
    <t>d</t>
  </si>
  <si>
    <t>AS210-C2-1.raw</t>
  </si>
  <si>
    <t>AS210-C2-1_20220613200635.raw</t>
  </si>
  <si>
    <t>AS210-C2-1_20220613204258.raw</t>
  </si>
  <si>
    <t>AS210-C2-1_20220613211922.raw</t>
  </si>
  <si>
    <t>AS210-C2-1_20220613215544.raw</t>
  </si>
  <si>
    <t>AS210-C2-1_20220613223207.raw</t>
  </si>
  <si>
    <t>AS210-C2-1_20220613230828.raw</t>
  </si>
  <si>
    <t>AS210-C2-1_20220613234448.raw</t>
  </si>
  <si>
    <t>AS210-C2-1_20220614002110.raw</t>
  </si>
  <si>
    <t>AS210-C2-1_20220614005732.raw</t>
  </si>
  <si>
    <t>AS210-C2-1_20220614013354.raw</t>
  </si>
  <si>
    <t>AS210-C2-1_20220614021012.raw</t>
  </si>
  <si>
    <t>AS210-C2-1_20220614024633.raw</t>
  </si>
  <si>
    <t>AS210-C2-1_20220614032256.raw</t>
  </si>
  <si>
    <t>AS210-C2-1_20220614042522.raw</t>
  </si>
  <si>
    <t>AS210-C2-1_20220614052756.raw</t>
  </si>
  <si>
    <t>AS210-C2-1_20220614063028.raw</t>
  </si>
  <si>
    <t>AS210-C2-1_20220614073301.raw</t>
  </si>
  <si>
    <t>AS210-C2-1_20220614083531.raw</t>
  </si>
  <si>
    <t>AS210-C2-1_20220614094603.raw</t>
  </si>
  <si>
    <t>AS210-C2-1_20220614190428.raw</t>
  </si>
  <si>
    <t>AS210-C2-1_20220614225517.raw</t>
  </si>
  <si>
    <t>AS210-C2-1_20220615084555.raw</t>
  </si>
  <si>
    <t>AS210-C2-1_20220615173131.raw</t>
  </si>
  <si>
    <t>AS210-C2-1_20220616090758.raw</t>
  </si>
  <si>
    <t>AS210-C2-1_20220616175641.raw</t>
  </si>
  <si>
    <t>Imine+iminHCO</t>
  </si>
  <si>
    <t>AS239-A1.raw</t>
  </si>
  <si>
    <t>AS239-A1_20221011210123.raw</t>
  </si>
  <si>
    <t>AS239-A1_20221011213738.raw</t>
  </si>
  <si>
    <t>AS239-A1_20221011221346.raw</t>
  </si>
  <si>
    <t>AS239-A1_20221011224958.raw</t>
  </si>
  <si>
    <t>AS239-A1_20221011232608.raw</t>
  </si>
  <si>
    <t>AS239-A1_20221012000230.raw</t>
  </si>
  <si>
    <t>AS239-A1_20221012003839.raw</t>
  </si>
  <si>
    <t>AS239-A1_20221012011447.raw</t>
  </si>
  <si>
    <t>AS239-A1_20221012015056.raw</t>
  </si>
  <si>
    <t>AS239-A1_20221012022708.raw</t>
  </si>
  <si>
    <t>AS239-A1_20221012030326.raw</t>
  </si>
  <si>
    <t>AS239-A1_20221012033935.raw</t>
  </si>
  <si>
    <t>AS239-A1_20221012041545.raw</t>
  </si>
  <si>
    <t>AS239-A1_20221012045156.raw</t>
  </si>
  <si>
    <t>AS239-A1_20221012052806.raw</t>
  </si>
  <si>
    <t>AS239-A1_20221012060422.raw</t>
  </si>
  <si>
    <t>AS239-A1_20221012064034.raw</t>
  </si>
  <si>
    <t>AS239-A1_20221012071646.raw</t>
  </si>
  <si>
    <t>AS239-A1_20221012075254.raw</t>
  </si>
  <si>
    <t>AS239-A1_20221012082902.raw</t>
  </si>
  <si>
    <t>AS239-A1_20221012122345.raw</t>
  </si>
  <si>
    <t>AS239-A1_20221012182550.raw</t>
  </si>
  <si>
    <t>AS239-A1_20221013085545.raw</t>
  </si>
  <si>
    <t>AS239-A1_20221013124851.raw</t>
  </si>
  <si>
    <t>AS239-A1_20221013185021.raw</t>
  </si>
  <si>
    <t>AS239-A1_20221014090220.raw</t>
  </si>
  <si>
    <t>AS239-A1_20221014231912.raw</t>
  </si>
  <si>
    <t>AS239-B1.raw</t>
  </si>
  <si>
    <t>AS239-B1_20221011211149.raw</t>
  </si>
  <si>
    <t>AS239-B1_20221011214757.raw</t>
  </si>
  <si>
    <t>AS239-B1_20221011222404.raw</t>
  </si>
  <si>
    <t>AS239-B1_20221011230016.raw</t>
  </si>
  <si>
    <t>AS239-B1_20221011233628.raw</t>
  </si>
  <si>
    <t>AS239-B1_20221012001248.raw</t>
  </si>
  <si>
    <t>AS239-B1_20221012004857.raw</t>
  </si>
  <si>
    <t>AS239-B1_20221012012505.raw</t>
  </si>
  <si>
    <t>AS239-B1_20221012020115.raw</t>
  </si>
  <si>
    <t>AS239-B1_20221012023726.raw</t>
  </si>
  <si>
    <t>AS239-B1_20221012031344.raw</t>
  </si>
  <si>
    <t>AS239-B1_20221012034953.raw</t>
  </si>
  <si>
    <t>AS239-B1_20221012042603.raw</t>
  </si>
  <si>
    <t>AS239-B1_20221012050215.raw</t>
  </si>
  <si>
    <t>AS239-B1_20221012053824.raw</t>
  </si>
  <si>
    <t>AS239-B1_20221012061440.raw</t>
  </si>
  <si>
    <t>AS239-B1_20221012065054.raw</t>
  </si>
  <si>
    <t>AS239-B1_20221012072704.raw</t>
  </si>
  <si>
    <t>AS239-B1_20221012080312.raw</t>
  </si>
  <si>
    <t>AS239-B1_20221012083920.raw</t>
  </si>
  <si>
    <t>AS239-B1_20221012123403.raw</t>
  </si>
  <si>
    <t>AS239-B1_20221012183608.raw</t>
  </si>
  <si>
    <t>AS239-B1_20221013090603.raw</t>
  </si>
  <si>
    <t>AS239-B1_20221013125910.raw</t>
  </si>
  <si>
    <t>AS239-B1_20221013190042.raw</t>
  </si>
  <si>
    <t>AS239-B1_20221014091238.raw</t>
  </si>
  <si>
    <t>AS239-B1_20221014232931.raw</t>
  </si>
  <si>
    <t>AS239-C1.raw</t>
  </si>
  <si>
    <t>AS239-C1_20221011212207.raw</t>
  </si>
  <si>
    <t>AS239-C1_20221011215815.raw</t>
  </si>
  <si>
    <t>AS239-C1_20221011223422.raw</t>
  </si>
  <si>
    <t>AS239-C1_20221011231035.raw</t>
  </si>
  <si>
    <t>AS239-C1_20221011234648.raw</t>
  </si>
  <si>
    <t>AS239-C1_20221012002306.raw</t>
  </si>
  <si>
    <t>AS239-C1_20221012005915.raw</t>
  </si>
  <si>
    <t>AS239-C1_20221012013525.raw</t>
  </si>
  <si>
    <t>AS239-C1_20221012021135.raw</t>
  </si>
  <si>
    <t>AS239-C1_20221012024744.raw</t>
  </si>
  <si>
    <t>AS239-C1_20221012032404.raw</t>
  </si>
  <si>
    <t>AS239-C1_20221012040012.raw</t>
  </si>
  <si>
    <t>AS239-C1_20221012043623.raw</t>
  </si>
  <si>
    <t>AS239-C1_20221012051233.raw</t>
  </si>
  <si>
    <t>AS239-C1_20221012054843.raw</t>
  </si>
  <si>
    <t>AS239-C1_20221012062501.raw</t>
  </si>
  <si>
    <t>AS239-C1_20221012070113.raw</t>
  </si>
  <si>
    <t>AS239-C1_20221012073722.raw</t>
  </si>
  <si>
    <t>AS239-C1_20221012081330.raw</t>
  </si>
  <si>
    <t>AS239-C1_20221012084938.raw</t>
  </si>
  <si>
    <t>AS239-C1_20221012124422.raw</t>
  </si>
  <si>
    <t>AS239-C1_20221012184627.raw</t>
  </si>
  <si>
    <t>AS239-C1_20221013091624.raw</t>
  </si>
  <si>
    <t>AS239-C1_20221013130932.raw</t>
  </si>
  <si>
    <t>AS239-C1_20221013191100.raw</t>
  </si>
  <si>
    <t>AS239-C1_20221014092256.raw</t>
  </si>
  <si>
    <t>AS239-C2.raw</t>
  </si>
  <si>
    <t>AS239-C2_20221011212718.raw</t>
  </si>
  <si>
    <t>AS239-C2_20221011220324.raw</t>
  </si>
  <si>
    <t>AS239-C2_20221011223933.raw</t>
  </si>
  <si>
    <t>AS239-C2_20221011231546.raw</t>
  </si>
  <si>
    <t>AS239-C2_20221011235159.raw</t>
  </si>
  <si>
    <t>AS239-C2_20221012002817.raw</t>
  </si>
  <si>
    <t>AS239-C2_20221012010425.raw</t>
  </si>
  <si>
    <t>AS239-C2_20221012014036.raw</t>
  </si>
  <si>
    <t>AS239-C2_20221012021645.raw</t>
  </si>
  <si>
    <t>AS239-C2_20221012025256.raw</t>
  </si>
  <si>
    <t>AS239-C2_20221012032914.raw</t>
  </si>
  <si>
    <t>AS239-C2_20221012040522.raw</t>
  </si>
  <si>
    <t>AS239-C2_20221012044134.raw</t>
  </si>
  <si>
    <t>AS239-C2_20221012051744.raw</t>
  </si>
  <si>
    <t>AS239-C2_20221012055352.raw</t>
  </si>
  <si>
    <t>AS239-C2_20221012063012.raw</t>
  </si>
  <si>
    <t>AS239-C2_20221012070624.raw</t>
  </si>
  <si>
    <t>AS239-C2_20221012074231.raw</t>
  </si>
  <si>
    <t>AS239-C2_20221012081841.raw</t>
  </si>
  <si>
    <t>AS239-C2_20221012085447.raw</t>
  </si>
  <si>
    <t>AS239-C2_20221012124931.raw</t>
  </si>
  <si>
    <t>AS239-C2_20221012185138.raw</t>
  </si>
  <si>
    <t>AS239-C2_20221013092134.raw</t>
  </si>
  <si>
    <t>AS239-C2_20221013131443.raw</t>
  </si>
  <si>
    <t>AS239-C2_20221013191611.raw</t>
  </si>
  <si>
    <t>AS239-C2_20221014092807.raw</t>
  </si>
  <si>
    <t>AS239-C2_20221014234500.raw</t>
  </si>
  <si>
    <t>`</t>
  </si>
  <si>
    <t>AS239-A2.raw</t>
  </si>
  <si>
    <t>AS239-A2_20221011210639.raw</t>
  </si>
  <si>
    <t>AS239-A2_20221011214247.raw</t>
  </si>
  <si>
    <t>AS239-A2_20221011221855.raw</t>
  </si>
  <si>
    <t>AS239-A2_20221011225507.raw</t>
  </si>
  <si>
    <t>AS239-A2_20221011233117.raw</t>
  </si>
  <si>
    <t>AS239-A2_20221012000739.raw</t>
  </si>
  <si>
    <t>AS239-A2_20221012004348.raw</t>
  </si>
  <si>
    <t>AS239-A2_20221012011956.raw</t>
  </si>
  <si>
    <t>AS239-A2_20221012015605.raw</t>
  </si>
  <si>
    <t>AS239-A2_20221012023217.raw</t>
  </si>
  <si>
    <t>AS239-A2_20221012030835.raw</t>
  </si>
  <si>
    <t>AS239-A2_20221012034444.raw</t>
  </si>
  <si>
    <t>AS239-A2_20221012042054.raw</t>
  </si>
  <si>
    <t>AS239-A2_20221012045706.raw</t>
  </si>
  <si>
    <t>AS239-A2_20221012053315.raw</t>
  </si>
  <si>
    <t>AS239-A2_20221012060931.raw</t>
  </si>
  <si>
    <t>AS239-A2_20221012064545.raw</t>
  </si>
  <si>
    <t>AS239-A2_20221012072155.raw</t>
  </si>
  <si>
    <t>AS239-A2_20221012075803.raw</t>
  </si>
  <si>
    <t>AS239-A2_20221012083411.raw</t>
  </si>
  <si>
    <t>AS239-A2_20221012122854.raw</t>
  </si>
  <si>
    <t>AS239-A2_20221012183059.raw</t>
  </si>
  <si>
    <t>AS239-A2_20221013090054.raw</t>
  </si>
  <si>
    <t>AS239-A2_20221013125401.raw</t>
  </si>
  <si>
    <t>AS239-A2_20221013185531.raw</t>
  </si>
  <si>
    <t>AS239-A2_20221014090729.raw</t>
  </si>
  <si>
    <t>AS239-A2_20221014232422.raw</t>
  </si>
  <si>
    <t>AS239-B2.raw</t>
  </si>
  <si>
    <t>AS239-B2_20221011211658.raw</t>
  </si>
  <si>
    <t>AS239-B2_20221011215306.raw</t>
  </si>
  <si>
    <t>AS239-B2_20221011222913.raw</t>
  </si>
  <si>
    <t>AS239-B2_20221011230526.raw</t>
  </si>
  <si>
    <t>AS239-B2_20221011234137.raw</t>
  </si>
  <si>
    <t>AS239-B2_20221012001757.raw</t>
  </si>
  <si>
    <t>AS239-B2_20221012005406.raw</t>
  </si>
  <si>
    <t>AS239-B2_20221012013016.raw</t>
  </si>
  <si>
    <t>AS239-B2_20221012020624.raw</t>
  </si>
  <si>
    <t>AS239-B2_20221012024235.raw</t>
  </si>
  <si>
    <t>AS239-B2_20221012031853.raw</t>
  </si>
  <si>
    <t>AS239-B2_20221012035503.raw</t>
  </si>
  <si>
    <t>AS239-B2_20221012043112.raw</t>
  </si>
  <si>
    <t>AS239-B2_20221012050724.raw</t>
  </si>
  <si>
    <t>AS239-B2_20221012054334.raw</t>
  </si>
  <si>
    <t>AS239-B2_20221012061951.raw</t>
  </si>
  <si>
    <t>AS239-B2_20221012065603.raw</t>
  </si>
  <si>
    <t>AS239-B2_20221012073213.raw</t>
  </si>
  <si>
    <t>AS239-B2_20221012080821.raw</t>
  </si>
  <si>
    <t>AS239-B2_20221012084429.raw</t>
  </si>
  <si>
    <t>AS239-B2_20221012123913.raw</t>
  </si>
  <si>
    <t>AS239-B2_20221012184117.raw</t>
  </si>
  <si>
    <t>AS239-B2_20221013091114.raw</t>
  </si>
  <si>
    <t>AS239-B2_20221013130421.raw</t>
  </si>
  <si>
    <t>AS239-B2_20221013190551.raw</t>
  </si>
  <si>
    <t>AS239-B2_20221014091747.raw</t>
  </si>
  <si>
    <t>AS239-B2_20221014233440.raw</t>
  </si>
  <si>
    <t>AS239A</t>
  </si>
  <si>
    <t>A1</t>
  </si>
  <si>
    <t>Average</t>
  </si>
  <si>
    <t>Fractions</t>
  </si>
  <si>
    <t>Concentration, mM</t>
  </si>
  <si>
    <t>Time, st.dev.</t>
  </si>
  <si>
    <t>lin CP1</t>
  </si>
  <si>
    <t>lin st. dev</t>
  </si>
  <si>
    <t>1-arm st.dev.</t>
  </si>
  <si>
    <t>cyc. st dev</t>
  </si>
  <si>
    <t>AS239B</t>
  </si>
  <si>
    <t>B1</t>
  </si>
  <si>
    <t>B2</t>
  </si>
  <si>
    <t>AS239C</t>
  </si>
  <si>
    <t>C1</t>
  </si>
  <si>
    <t>C2</t>
  </si>
  <si>
    <t>Concentrations, mM</t>
  </si>
  <si>
    <t>lin CPL3</t>
  </si>
  <si>
    <t>lin st dev</t>
  </si>
  <si>
    <t>1-arm st dev</t>
  </si>
  <si>
    <t>cyc st dev</t>
  </si>
  <si>
    <t>2-arm st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</si>
</sst>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AS239C1: CPL3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AS239C!$E$3:$E$27</c:f>
              <c:numCache>
                <c:formatCode>General</c:formatCode>
                <c:ptCount val="25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1.25</c:v>
                </c:pt>
                <c:pt idx="4">
                  <c:v>1.85</c:v>
                </c:pt>
                <c:pt idx="5">
                  <c:v>2.4500000000000002</c:v>
                </c:pt>
                <c:pt idx="6">
                  <c:v>3.05</c:v>
                </c:pt>
                <c:pt idx="7">
                  <c:v>3.6666666666666665</c:v>
                </c:pt>
                <c:pt idx="8">
                  <c:v>4.2666666666666666</c:v>
                </c:pt>
                <c:pt idx="9">
                  <c:v>4.8666666666666663</c:v>
                </c:pt>
                <c:pt idx="10">
                  <c:v>5.4666666666666668</c:v>
                </c:pt>
                <c:pt idx="11">
                  <c:v>6.0666666666666664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7.8833333333333337</c:v>
                </c:pt>
                <c:pt idx="15">
                  <c:v>8.4833333333333325</c:v>
                </c:pt>
                <c:pt idx="16">
                  <c:v>9.0833333333333339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</c:v>
                </c:pt>
                <c:pt idx="20">
                  <c:v>11.5</c:v>
                </c:pt>
                <c:pt idx="21">
                  <c:v>12.1</c:v>
                </c:pt>
                <c:pt idx="22">
                  <c:v>16.016666666666666</c:v>
                </c:pt>
                <c:pt idx="23">
                  <c:v>22.05</c:v>
                </c:pt>
                <c:pt idx="24">
                  <c:v>36.549999999999997</c:v>
                </c:pt>
              </c:numCache>
            </c:numRef>
          </c:xVal>
          <c:yVal>
            <c:numRef>
              <c:f>AS239C!$AC$3:$AC$27</c:f>
              <c:numCache>
                <c:formatCode>General</c:formatCode>
                <c:ptCount val="25"/>
                <c:pt idx="0">
                  <c:v>0</c:v>
                </c:pt>
                <c:pt idx="1">
                  <c:v>7.0478797639147189E-2</c:v>
                </c:pt>
                <c:pt idx="2">
                  <c:v>0.55051235140161392</c:v>
                </c:pt>
                <c:pt idx="3">
                  <c:v>0.46396156667945604</c:v>
                </c:pt>
                <c:pt idx="4">
                  <c:v>0.35632291091496815</c:v>
                </c:pt>
                <c:pt idx="5">
                  <c:v>0.27341602779447671</c:v>
                </c:pt>
                <c:pt idx="6">
                  <c:v>0.21100107456122441</c:v>
                </c:pt>
                <c:pt idx="7">
                  <c:v>0.16829914691766404</c:v>
                </c:pt>
                <c:pt idx="8">
                  <c:v>0.14028319853606827</c:v>
                </c:pt>
                <c:pt idx="9">
                  <c:v>0.1185967301378404</c:v>
                </c:pt>
                <c:pt idx="10">
                  <c:v>0.10326931115594483</c:v>
                </c:pt>
                <c:pt idx="11">
                  <c:v>8.787564220714468E-2</c:v>
                </c:pt>
                <c:pt idx="12">
                  <c:v>7.9985707691895155E-2</c:v>
                </c:pt>
                <c:pt idx="13">
                  <c:v>7.2216821970159481E-2</c:v>
                </c:pt>
                <c:pt idx="14">
                  <c:v>6.6257037980032824E-2</c:v>
                </c:pt>
                <c:pt idx="15">
                  <c:v>6.0593250841778565E-2</c:v>
                </c:pt>
                <c:pt idx="16">
                  <c:v>5.4788485640043717E-2</c:v>
                </c:pt>
                <c:pt idx="17">
                  <c:v>5.0607909009586588E-2</c:v>
                </c:pt>
                <c:pt idx="18">
                  <c:v>4.7457739013688119E-2</c:v>
                </c:pt>
                <c:pt idx="19">
                  <c:v>4.1366516824812509E-2</c:v>
                </c:pt>
                <c:pt idx="20">
                  <c:v>3.8865389938062551E-2</c:v>
                </c:pt>
                <c:pt idx="21">
                  <c:v>3.6814516507258775E-2</c:v>
                </c:pt>
                <c:pt idx="22">
                  <c:v>2.3658836606394472E-2</c:v>
                </c:pt>
                <c:pt idx="23">
                  <c:v>9.3238913718344425E-3</c:v>
                </c:pt>
                <c:pt idx="24">
                  <c:v>8.0235584780855929E-4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7D-1746-A934-246FA9BDBC64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AS239C!$E$3:$E$27</c:f>
              <c:numCache>
                <c:formatCode>General</c:formatCode>
                <c:ptCount val="25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1.25</c:v>
                </c:pt>
                <c:pt idx="4">
                  <c:v>1.85</c:v>
                </c:pt>
                <c:pt idx="5">
                  <c:v>2.4500000000000002</c:v>
                </c:pt>
                <c:pt idx="6">
                  <c:v>3.05</c:v>
                </c:pt>
                <c:pt idx="7">
                  <c:v>3.6666666666666665</c:v>
                </c:pt>
                <c:pt idx="8">
                  <c:v>4.2666666666666666</c:v>
                </c:pt>
                <c:pt idx="9">
                  <c:v>4.8666666666666663</c:v>
                </c:pt>
                <c:pt idx="10">
                  <c:v>5.4666666666666668</c:v>
                </c:pt>
                <c:pt idx="11">
                  <c:v>6.0666666666666664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7.8833333333333337</c:v>
                </c:pt>
                <c:pt idx="15">
                  <c:v>8.4833333333333325</c:v>
                </c:pt>
                <c:pt idx="16">
                  <c:v>9.0833333333333339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</c:v>
                </c:pt>
                <c:pt idx="20">
                  <c:v>11.5</c:v>
                </c:pt>
                <c:pt idx="21">
                  <c:v>12.1</c:v>
                </c:pt>
                <c:pt idx="22">
                  <c:v>16.016666666666666</c:v>
                </c:pt>
                <c:pt idx="23">
                  <c:v>22.05</c:v>
                </c:pt>
                <c:pt idx="24">
                  <c:v>36.549999999999997</c:v>
                </c:pt>
              </c:numCache>
            </c:numRef>
          </c:xVal>
          <c:yVal>
            <c:numRef>
              <c:f>AS239C!$AD$3:$AD$27</c:f>
              <c:numCache>
                <c:formatCode>General</c:formatCode>
                <c:ptCount val="25"/>
                <c:pt idx="0">
                  <c:v>0</c:v>
                </c:pt>
                <c:pt idx="1">
                  <c:v>5.3461681333892355E-3</c:v>
                </c:pt>
                <c:pt idx="2">
                  <c:v>0.20754828837806755</c:v>
                </c:pt>
                <c:pt idx="3">
                  <c:v>0.38377423804597838</c:v>
                </c:pt>
                <c:pt idx="4">
                  <c:v>0.50790315825097199</c:v>
                </c:pt>
                <c:pt idx="5">
                  <c:v>0.58989905549568533</c:v>
                </c:pt>
                <c:pt idx="6">
                  <c:v>0.64273578667567566</c:v>
                </c:pt>
                <c:pt idx="7">
                  <c:v>0.67101008447087163</c:v>
                </c:pt>
                <c:pt idx="8">
                  <c:v>0.6897401726319432</c:v>
                </c:pt>
                <c:pt idx="9">
                  <c:v>0.69678956718129859</c:v>
                </c:pt>
                <c:pt idx="10">
                  <c:v>0.69047696577906736</c:v>
                </c:pt>
                <c:pt idx="11">
                  <c:v>0.69016658519016638</c:v>
                </c:pt>
                <c:pt idx="12">
                  <c:v>0.68495421874241658</c:v>
                </c:pt>
                <c:pt idx="13">
                  <c:v>0.67032259285022888</c:v>
                </c:pt>
                <c:pt idx="14">
                  <c:v>0.65534324734458715</c:v>
                </c:pt>
                <c:pt idx="15">
                  <c:v>0.64867421476762011</c:v>
                </c:pt>
                <c:pt idx="16">
                  <c:v>0.63592124147416462</c:v>
                </c:pt>
                <c:pt idx="17">
                  <c:v>0.61913207934860404</c:v>
                </c:pt>
                <c:pt idx="18">
                  <c:v>0.6036100685546848</c:v>
                </c:pt>
                <c:pt idx="19">
                  <c:v>0.58618151240186001</c:v>
                </c:pt>
                <c:pt idx="20">
                  <c:v>0.57050735937230923</c:v>
                </c:pt>
                <c:pt idx="21">
                  <c:v>0.55458163367974844</c:v>
                </c:pt>
                <c:pt idx="22">
                  <c:v>0.47162139965138883</c:v>
                </c:pt>
                <c:pt idx="23">
                  <c:v>0.34235376150221974</c:v>
                </c:pt>
                <c:pt idx="24">
                  <c:v>0.19124381951392863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D-1746-A934-246FA9BDBC64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AS239C!$E$3:$E$27</c:f>
              <c:numCache>
                <c:formatCode>General</c:formatCode>
                <c:ptCount val="25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1.25</c:v>
                </c:pt>
                <c:pt idx="4">
                  <c:v>1.85</c:v>
                </c:pt>
                <c:pt idx="5">
                  <c:v>2.4500000000000002</c:v>
                </c:pt>
                <c:pt idx="6">
                  <c:v>3.05</c:v>
                </c:pt>
                <c:pt idx="7">
                  <c:v>3.6666666666666665</c:v>
                </c:pt>
                <c:pt idx="8">
                  <c:v>4.2666666666666666</c:v>
                </c:pt>
                <c:pt idx="9">
                  <c:v>4.8666666666666663</c:v>
                </c:pt>
                <c:pt idx="10">
                  <c:v>5.4666666666666668</c:v>
                </c:pt>
                <c:pt idx="11">
                  <c:v>6.0666666666666664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7.8833333333333337</c:v>
                </c:pt>
                <c:pt idx="15">
                  <c:v>8.4833333333333325</c:v>
                </c:pt>
                <c:pt idx="16">
                  <c:v>9.0833333333333339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</c:v>
                </c:pt>
                <c:pt idx="20">
                  <c:v>11.5</c:v>
                </c:pt>
                <c:pt idx="21">
                  <c:v>12.1</c:v>
                </c:pt>
                <c:pt idx="22">
                  <c:v>16.016666666666666</c:v>
                </c:pt>
                <c:pt idx="23">
                  <c:v>22.05</c:v>
                </c:pt>
                <c:pt idx="24">
                  <c:v>36.549999999999997</c:v>
                </c:pt>
              </c:numCache>
            </c:numRef>
          </c:xVal>
          <c:yVal>
            <c:numRef>
              <c:f>AS239C!$AE$3:$AE$27</c:f>
              <c:numCache>
                <c:formatCode>General</c:formatCode>
                <c:ptCount val="25"/>
                <c:pt idx="0">
                  <c:v>0</c:v>
                </c:pt>
                <c:pt idx="1">
                  <c:v>3.5396630965327295E-3</c:v>
                </c:pt>
                <c:pt idx="2">
                  <c:v>8.4457681979962281E-3</c:v>
                </c:pt>
                <c:pt idx="3">
                  <c:v>2.0621531711512014E-3</c:v>
                </c:pt>
                <c:pt idx="4">
                  <c:v>3.8446814960765965E-4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7D-1746-A934-246FA9BDBC64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00-937D-8C40-A8A8-B204B57D8A51}"/>
              </c:ext>
            </c:extLst>
          </c:dPt>
          <c:xVal>
            <c:numRef>
              <c:f>AS239C!$E$3:$E$27</c:f>
              <c:numCache>
                <c:formatCode>General</c:formatCode>
                <c:ptCount val="25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1.25</c:v>
                </c:pt>
                <c:pt idx="4">
                  <c:v>1.85</c:v>
                </c:pt>
                <c:pt idx="5">
                  <c:v>2.4500000000000002</c:v>
                </c:pt>
                <c:pt idx="6">
                  <c:v>3.05</c:v>
                </c:pt>
                <c:pt idx="7">
                  <c:v>3.6666666666666665</c:v>
                </c:pt>
                <c:pt idx="8">
                  <c:v>4.2666666666666666</c:v>
                </c:pt>
                <c:pt idx="9">
                  <c:v>4.8666666666666663</c:v>
                </c:pt>
                <c:pt idx="10">
                  <c:v>5.4666666666666668</c:v>
                </c:pt>
                <c:pt idx="11">
                  <c:v>6.0666666666666664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7.8833333333333337</c:v>
                </c:pt>
                <c:pt idx="15">
                  <c:v>8.4833333333333325</c:v>
                </c:pt>
                <c:pt idx="16">
                  <c:v>9.0833333333333339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</c:v>
                </c:pt>
                <c:pt idx="20">
                  <c:v>11.5</c:v>
                </c:pt>
                <c:pt idx="21">
                  <c:v>12.1</c:v>
                </c:pt>
                <c:pt idx="22">
                  <c:v>16.016666666666666</c:v>
                </c:pt>
                <c:pt idx="23">
                  <c:v>22.05</c:v>
                </c:pt>
                <c:pt idx="24">
                  <c:v>36.549999999999997</c:v>
                </c:pt>
              </c:numCache>
            </c:numRef>
          </c:xVal>
          <c:yVal>
            <c:numRef>
              <c:f>AS239C!$AG$3:$AG$27</c:f>
              <c:numCache>
                <c:formatCode>General</c:formatCode>
                <c:ptCount val="25"/>
                <c:pt idx="0">
                  <c:v>1</c:v>
                </c:pt>
                <c:pt idx="1">
                  <c:v>0.92063537113093086</c:v>
                </c:pt>
                <c:pt idx="2">
                  <c:v>0.233252853943343</c:v>
                </c:pt>
                <c:pt idx="3">
                  <c:v>0.1496669091506326</c:v>
                </c:pt>
                <c:pt idx="4">
                  <c:v>0.13465620403017492</c:v>
                </c:pt>
                <c:pt idx="5">
                  <c:v>0.13569239718259449</c:v>
                </c:pt>
                <c:pt idx="6">
                  <c:v>0.14514340533685469</c:v>
                </c:pt>
                <c:pt idx="7">
                  <c:v>0.15929149312820332</c:v>
                </c:pt>
                <c:pt idx="8">
                  <c:v>0.16841322255856511</c:v>
                </c:pt>
                <c:pt idx="9">
                  <c:v>0.18292119974521731</c:v>
                </c:pt>
                <c:pt idx="10">
                  <c:v>0.20461511423630607</c:v>
                </c:pt>
                <c:pt idx="11">
                  <c:v>0.22000253314116441</c:v>
                </c:pt>
                <c:pt idx="12">
                  <c:v>0.23304253158946797</c:v>
                </c:pt>
                <c:pt idx="13">
                  <c:v>0.25541982747809489</c:v>
                </c:pt>
                <c:pt idx="14">
                  <c:v>0.27633443126750384</c:v>
                </c:pt>
                <c:pt idx="15">
                  <c:v>0.28835594754559357</c:v>
                </c:pt>
                <c:pt idx="16">
                  <c:v>0.30690856224880486</c:v>
                </c:pt>
                <c:pt idx="17">
                  <c:v>0.32783723854170677</c:v>
                </c:pt>
                <c:pt idx="18">
                  <c:v>0.34651956265095568</c:v>
                </c:pt>
                <c:pt idx="19">
                  <c:v>0.37017109383890268</c:v>
                </c:pt>
                <c:pt idx="20">
                  <c:v>0.38829116777523226</c:v>
                </c:pt>
                <c:pt idx="21">
                  <c:v>0.4062112975063889</c:v>
                </c:pt>
                <c:pt idx="22">
                  <c:v>0.50237727601309889</c:v>
                </c:pt>
                <c:pt idx="23">
                  <c:v>0.64650390202818553</c:v>
                </c:pt>
                <c:pt idx="24">
                  <c:v>0.8067895424416468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7D-1746-A934-246FA9BDB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88800"/>
        <c:axId val="226990720"/>
      </c:scatterChart>
      <c:valAx>
        <c:axId val="226988800"/>
        <c:scaling>
          <c:orientation val="minMax"/>
          <c:max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90720"/>
        <c:crosses val="autoZero"/>
        <c:crossBetween val="midCat"/>
      </c:valAx>
      <c:valAx>
        <c:axId val="2269907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8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AS210-C2: CPL3, 10 DIth 50 Adap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AS239C!$AC$108:$AC$134</c:f>
              <c:numCache>
                <c:formatCode>General</c:formatCode>
                <c:ptCount val="27"/>
                <c:pt idx="0">
                  <c:v>0</c:v>
                </c:pt>
                <c:pt idx="1">
                  <c:v>2.0374294484802692E-2</c:v>
                </c:pt>
                <c:pt idx="2">
                  <c:v>0.19085762151781754</c:v>
                </c:pt>
                <c:pt idx="3">
                  <c:v>0.22978233196708259</c:v>
                </c:pt>
                <c:pt idx="4">
                  <c:v>0.21271952286578213</c:v>
                </c:pt>
                <c:pt idx="5">
                  <c:v>0.17856877549788402</c:v>
                </c:pt>
                <c:pt idx="6">
                  <c:v>0.14967293554299557</c:v>
                </c:pt>
                <c:pt idx="7">
                  <c:v>0.11960884446648042</c:v>
                </c:pt>
                <c:pt idx="8">
                  <c:v>0.10348892815240024</c:v>
                </c:pt>
                <c:pt idx="9">
                  <c:v>8.5485755008291198E-2</c:v>
                </c:pt>
                <c:pt idx="10">
                  <c:v>7.4061359956500858E-2</c:v>
                </c:pt>
                <c:pt idx="11">
                  <c:v>6.2358022047276841E-2</c:v>
                </c:pt>
                <c:pt idx="12">
                  <c:v>5.2742741732017338E-2</c:v>
                </c:pt>
                <c:pt idx="13">
                  <c:v>4.2533734984706709E-2</c:v>
                </c:pt>
                <c:pt idx="14">
                  <c:v>3.6163632523589791E-2</c:v>
                </c:pt>
                <c:pt idx="15">
                  <c:v>2.7211649286460752E-2</c:v>
                </c:pt>
                <c:pt idx="16">
                  <c:v>2.1577499683164098E-2</c:v>
                </c:pt>
                <c:pt idx="17">
                  <c:v>1.6603444212168805E-2</c:v>
                </c:pt>
                <c:pt idx="18">
                  <c:v>1.3404074195421853E-2</c:v>
                </c:pt>
                <c:pt idx="19">
                  <c:v>1.0760653860011635E-2</c:v>
                </c:pt>
                <c:pt idx="20">
                  <c:v>8.0574563102309166E-3</c:v>
                </c:pt>
                <c:pt idx="21">
                  <c:v>1.691872945914034E-3</c:v>
                </c:pt>
                <c:pt idx="22">
                  <c:v>4.7891442084957245E-3</c:v>
                </c:pt>
                <c:pt idx="23">
                  <c:v>9.8525629497267229E-5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FB-784D-93F4-9E4B0C3101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AS239C!$AD$108:$AD$134</c:f>
              <c:numCache>
                <c:formatCode>General</c:formatCode>
                <c:ptCount val="27"/>
                <c:pt idx="0">
                  <c:v>0</c:v>
                </c:pt>
                <c:pt idx="1">
                  <c:v>1.5448886836050711E-3</c:v>
                </c:pt>
                <c:pt idx="2">
                  <c:v>3.9105869984921632E-2</c:v>
                </c:pt>
                <c:pt idx="3">
                  <c:v>9.2666133562295333E-2</c:v>
                </c:pt>
                <c:pt idx="4">
                  <c:v>0.13658911621546366</c:v>
                </c:pt>
                <c:pt idx="5">
                  <c:v>0.16897520724314921</c:v>
                </c:pt>
                <c:pt idx="6">
                  <c:v>0.19864492955398225</c:v>
                </c:pt>
                <c:pt idx="7">
                  <c:v>0.22038639811135738</c:v>
                </c:pt>
                <c:pt idx="8">
                  <c:v>0.23506430140162787</c:v>
                </c:pt>
                <c:pt idx="9">
                  <c:v>0.25738698174873786</c:v>
                </c:pt>
                <c:pt idx="10">
                  <c:v>0.26743109204154009</c:v>
                </c:pt>
                <c:pt idx="11">
                  <c:v>0.2801128422628405</c:v>
                </c:pt>
                <c:pt idx="12">
                  <c:v>0.29088890087207281</c:v>
                </c:pt>
                <c:pt idx="13">
                  <c:v>0.2863462479891381</c:v>
                </c:pt>
                <c:pt idx="14">
                  <c:v>0.29171171722961631</c:v>
                </c:pt>
                <c:pt idx="15">
                  <c:v>0.29159336009727849</c:v>
                </c:pt>
                <c:pt idx="16">
                  <c:v>0.29299857880640967</c:v>
                </c:pt>
                <c:pt idx="17">
                  <c:v>0.2926376463953162</c:v>
                </c:pt>
                <c:pt idx="18">
                  <c:v>0.30210709863399116</c:v>
                </c:pt>
                <c:pt idx="19">
                  <c:v>0.28650049122602622</c:v>
                </c:pt>
                <c:pt idx="20">
                  <c:v>0.28128781301508454</c:v>
                </c:pt>
                <c:pt idx="21">
                  <c:v>0.24328376421896628</c:v>
                </c:pt>
                <c:pt idx="22">
                  <c:v>0.22612314203978182</c:v>
                </c:pt>
                <c:pt idx="23">
                  <c:v>0.17692097026558271</c:v>
                </c:pt>
                <c:pt idx="24">
                  <c:v>0.1460743678843042</c:v>
                </c:pt>
                <c:pt idx="25">
                  <c:v>9.9107917156744302E-2</c:v>
                </c:pt>
                <c:pt idx="26">
                  <c:v>7.7979856676893097E-2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FB-784D-93F4-9E4B0C3101D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AS239C!$AE$108:$AE$134</c:f>
              <c:numCache>
                <c:formatCode>General</c:formatCode>
                <c:ptCount val="27"/>
                <c:pt idx="0">
                  <c:v>0</c:v>
                </c:pt>
                <c:pt idx="1">
                  <c:v>2.5320036412860967E-4</c:v>
                </c:pt>
                <c:pt idx="2">
                  <c:v>1.4882967359873885E-3</c:v>
                </c:pt>
                <c:pt idx="3">
                  <c:v>5.3292704380829476E-4</c:v>
                </c:pt>
                <c:pt idx="4">
                  <c:v>2.0125184148564253E-4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FB-784D-93F4-9E4B0C3101D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AS239C!$AG$108:$AG$134</c:f>
              <c:numCache>
                <c:formatCode>General</c:formatCode>
                <c:ptCount val="27"/>
                <c:pt idx="0">
                  <c:v>1</c:v>
                </c:pt>
                <c:pt idx="1">
                  <c:v>0.97782761646746352</c:v>
                </c:pt>
                <c:pt idx="2">
                  <c:v>0.76854821176127341</c:v>
                </c:pt>
                <c:pt idx="3">
                  <c:v>0.67695119857522212</c:v>
                </c:pt>
                <c:pt idx="4">
                  <c:v>0.65027409334312192</c:v>
                </c:pt>
                <c:pt idx="5">
                  <c:v>0.65223037847151377</c:v>
                </c:pt>
                <c:pt idx="6">
                  <c:v>0.65135199282499845</c:v>
                </c:pt>
                <c:pt idx="7">
                  <c:v>0.65957479130748353</c:v>
                </c:pt>
                <c:pt idx="8">
                  <c:v>0.66071390331193125</c:v>
                </c:pt>
                <c:pt idx="9">
                  <c:v>0.65618824390403963</c:v>
                </c:pt>
                <c:pt idx="10">
                  <c:v>0.65735388285455731</c:v>
                </c:pt>
                <c:pt idx="11">
                  <c:v>0.65636526361089764</c:v>
                </c:pt>
                <c:pt idx="12">
                  <c:v>0.65466763426689478</c:v>
                </c:pt>
                <c:pt idx="13">
                  <c:v>0.66930407303561923</c:v>
                </c:pt>
                <c:pt idx="14">
                  <c:v>0.67002170193091604</c:v>
                </c:pt>
                <c:pt idx="15">
                  <c:v>0.67862898354955414</c:v>
                </c:pt>
                <c:pt idx="16">
                  <c:v>0.68206290409689241</c:v>
                </c:pt>
                <c:pt idx="17">
                  <c:v>0.68674337354621628</c:v>
                </c:pt>
                <c:pt idx="18">
                  <c:v>0.67949450688789204</c:v>
                </c:pt>
                <c:pt idx="19">
                  <c:v>0.69692562676414682</c:v>
                </c:pt>
                <c:pt idx="20">
                  <c:v>0.70414364521509221</c:v>
                </c:pt>
                <c:pt idx="21">
                  <c:v>0.74001113340813141</c:v>
                </c:pt>
                <c:pt idx="22">
                  <c:v>0.74877683237298298</c:v>
                </c:pt>
                <c:pt idx="23">
                  <c:v>0.79176504232952827</c:v>
                </c:pt>
                <c:pt idx="24">
                  <c:v>0.81306158821188013</c:v>
                </c:pt>
                <c:pt idx="25">
                  <c:v>0.84539906660578035</c:v>
                </c:pt>
                <c:pt idx="26">
                  <c:v>0.86106340508611889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FB-784D-93F4-9E4B0C310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089792"/>
        <c:axId val="247104256"/>
      </c:scatterChart>
      <c:valAx>
        <c:axId val="247089792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04256"/>
        <c:crosses val="autoZero"/>
        <c:crossBetween val="midCat"/>
      </c:valAx>
      <c:valAx>
        <c:axId val="2471042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08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AS210-C2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AS239C!$AB$108:$AB$134</c:f>
              <c:numCache>
                <c:formatCode>General</c:formatCode>
                <c:ptCount val="27"/>
                <c:pt idx="0">
                  <c:v>1</c:v>
                </c:pt>
                <c:pt idx="1">
                  <c:v>0.95690355843931851</c:v>
                </c:pt>
                <c:pt idx="2">
                  <c:v>0.72774589064537976</c:v>
                </c:pt>
                <c:pt idx="3">
                  <c:v>0.63082016006062847</c:v>
                </c:pt>
                <c:pt idx="4">
                  <c:v>0.60070606322013109</c:v>
                </c:pt>
                <c:pt idx="5">
                  <c:v>0.59919031741046258</c:v>
                </c:pt>
                <c:pt idx="6">
                  <c:v>0.59155552646079845</c:v>
                </c:pt>
                <c:pt idx="7">
                  <c:v>0.59324038905113397</c:v>
                </c:pt>
                <c:pt idx="8">
                  <c:v>0.58937030544158786</c:v>
                </c:pt>
                <c:pt idx="9">
                  <c:v>0.58621153828671602</c:v>
                </c:pt>
                <c:pt idx="10">
                  <c:v>0.58185598680865702</c:v>
                </c:pt>
                <c:pt idx="11">
                  <c:v>0.57700903671015946</c:v>
                </c:pt>
                <c:pt idx="12">
                  <c:v>0.5705257525951356</c:v>
                </c:pt>
                <c:pt idx="13">
                  <c:v>0.5805159244236342</c:v>
                </c:pt>
                <c:pt idx="14">
                  <c:v>0.57499992089045393</c:v>
                </c:pt>
                <c:pt idx="15">
                  <c:v>0.57881966822725339</c:v>
                </c:pt>
                <c:pt idx="16">
                  <c:v>0.57826193351902122</c:v>
                </c:pt>
                <c:pt idx="17">
                  <c:v>0.57724799686654249</c:v>
                </c:pt>
                <c:pt idx="18">
                  <c:v>0.56377352193789931</c:v>
                </c:pt>
                <c:pt idx="19">
                  <c:v>0.5752513497728321</c:v>
                </c:pt>
                <c:pt idx="20">
                  <c:v>0.57294392425928586</c:v>
                </c:pt>
                <c:pt idx="21">
                  <c:v>0.56826286513490287</c:v>
                </c:pt>
                <c:pt idx="22">
                  <c:v>0.55708841568373946</c:v>
                </c:pt>
                <c:pt idx="23">
                  <c:v>0.55436525283286142</c:v>
                </c:pt>
                <c:pt idx="24">
                  <c:v>0.55293185320104365</c:v>
                </c:pt>
                <c:pt idx="25">
                  <c:v>0.54167321898193854</c:v>
                </c:pt>
                <c:pt idx="26">
                  <c:v>0.53141234028191742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1-564C-ACCB-B6D9F6E2675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AS239C!$AC$108:$AC$134</c:f>
              <c:numCache>
                <c:formatCode>General</c:formatCode>
                <c:ptCount val="27"/>
                <c:pt idx="0">
                  <c:v>0</c:v>
                </c:pt>
                <c:pt idx="1">
                  <c:v>2.0374294484802692E-2</c:v>
                </c:pt>
                <c:pt idx="2">
                  <c:v>0.19085762151781754</c:v>
                </c:pt>
                <c:pt idx="3">
                  <c:v>0.22978233196708259</c:v>
                </c:pt>
                <c:pt idx="4">
                  <c:v>0.21271952286578213</c:v>
                </c:pt>
                <c:pt idx="5">
                  <c:v>0.17856877549788402</c:v>
                </c:pt>
                <c:pt idx="6">
                  <c:v>0.14967293554299557</c:v>
                </c:pt>
                <c:pt idx="7">
                  <c:v>0.11960884446648042</c:v>
                </c:pt>
                <c:pt idx="8">
                  <c:v>0.10348892815240024</c:v>
                </c:pt>
                <c:pt idx="9">
                  <c:v>8.5485755008291198E-2</c:v>
                </c:pt>
                <c:pt idx="10">
                  <c:v>7.4061359956500858E-2</c:v>
                </c:pt>
                <c:pt idx="11">
                  <c:v>6.2358022047276841E-2</c:v>
                </c:pt>
                <c:pt idx="12">
                  <c:v>5.2742741732017338E-2</c:v>
                </c:pt>
                <c:pt idx="13">
                  <c:v>4.2533734984706709E-2</c:v>
                </c:pt>
                <c:pt idx="14">
                  <c:v>3.6163632523589791E-2</c:v>
                </c:pt>
                <c:pt idx="15">
                  <c:v>2.7211649286460752E-2</c:v>
                </c:pt>
                <c:pt idx="16">
                  <c:v>2.1577499683164098E-2</c:v>
                </c:pt>
                <c:pt idx="17">
                  <c:v>1.6603444212168805E-2</c:v>
                </c:pt>
                <c:pt idx="18">
                  <c:v>1.3404074195421853E-2</c:v>
                </c:pt>
                <c:pt idx="19">
                  <c:v>1.0760653860011635E-2</c:v>
                </c:pt>
                <c:pt idx="20">
                  <c:v>8.0574563102309166E-3</c:v>
                </c:pt>
                <c:pt idx="21">
                  <c:v>1.691872945914034E-3</c:v>
                </c:pt>
                <c:pt idx="22">
                  <c:v>4.7891442084957245E-3</c:v>
                </c:pt>
                <c:pt idx="23">
                  <c:v>9.8525629497267229E-5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1-564C-ACCB-B6D9F6E2675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AS239C!$AD$108:$AD$134</c:f>
              <c:numCache>
                <c:formatCode>General</c:formatCode>
                <c:ptCount val="27"/>
                <c:pt idx="0">
                  <c:v>0</c:v>
                </c:pt>
                <c:pt idx="1">
                  <c:v>1.5448886836050711E-3</c:v>
                </c:pt>
                <c:pt idx="2">
                  <c:v>3.9105869984921632E-2</c:v>
                </c:pt>
                <c:pt idx="3">
                  <c:v>9.2666133562295333E-2</c:v>
                </c:pt>
                <c:pt idx="4">
                  <c:v>0.13658911621546366</c:v>
                </c:pt>
                <c:pt idx="5">
                  <c:v>0.16897520724314921</c:v>
                </c:pt>
                <c:pt idx="6">
                  <c:v>0.19864492955398225</c:v>
                </c:pt>
                <c:pt idx="7">
                  <c:v>0.22038639811135738</c:v>
                </c:pt>
                <c:pt idx="8">
                  <c:v>0.23506430140162787</c:v>
                </c:pt>
                <c:pt idx="9">
                  <c:v>0.25738698174873786</c:v>
                </c:pt>
                <c:pt idx="10">
                  <c:v>0.26743109204154009</c:v>
                </c:pt>
                <c:pt idx="11">
                  <c:v>0.2801128422628405</c:v>
                </c:pt>
                <c:pt idx="12">
                  <c:v>0.29088890087207281</c:v>
                </c:pt>
                <c:pt idx="13">
                  <c:v>0.2863462479891381</c:v>
                </c:pt>
                <c:pt idx="14">
                  <c:v>0.29171171722961631</c:v>
                </c:pt>
                <c:pt idx="15">
                  <c:v>0.29159336009727849</c:v>
                </c:pt>
                <c:pt idx="16">
                  <c:v>0.29299857880640967</c:v>
                </c:pt>
                <c:pt idx="17">
                  <c:v>0.2926376463953162</c:v>
                </c:pt>
                <c:pt idx="18">
                  <c:v>0.30210709863399116</c:v>
                </c:pt>
                <c:pt idx="19">
                  <c:v>0.28650049122602622</c:v>
                </c:pt>
                <c:pt idx="20">
                  <c:v>0.28128781301508454</c:v>
                </c:pt>
                <c:pt idx="21">
                  <c:v>0.24328376421896628</c:v>
                </c:pt>
                <c:pt idx="22">
                  <c:v>0.22612314203978182</c:v>
                </c:pt>
                <c:pt idx="23">
                  <c:v>0.17692097026558271</c:v>
                </c:pt>
                <c:pt idx="24">
                  <c:v>0.1460743678843042</c:v>
                </c:pt>
                <c:pt idx="25">
                  <c:v>9.9107917156744302E-2</c:v>
                </c:pt>
                <c:pt idx="26">
                  <c:v>7.7979856676893097E-2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1-564C-ACCB-B6D9F6E2675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AS239C!$AE$108:$AE$134</c:f>
              <c:numCache>
                <c:formatCode>General</c:formatCode>
                <c:ptCount val="27"/>
                <c:pt idx="0">
                  <c:v>0</c:v>
                </c:pt>
                <c:pt idx="1">
                  <c:v>2.5320036412860967E-4</c:v>
                </c:pt>
                <c:pt idx="2">
                  <c:v>1.4882967359873885E-3</c:v>
                </c:pt>
                <c:pt idx="3">
                  <c:v>5.3292704380829476E-4</c:v>
                </c:pt>
                <c:pt idx="4">
                  <c:v>2.0125184148564253E-4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81-564C-ACCB-B6D9F6E2675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AS239C!$E$108:$E$134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AS239C!$AF$108:$AF$134</c:f>
              <c:numCache>
                <c:formatCode>General</c:formatCode>
                <c:ptCount val="27"/>
                <c:pt idx="0">
                  <c:v>0</c:v>
                </c:pt>
                <c:pt idx="1">
                  <c:v>2.0924058028144947E-2</c:v>
                </c:pt>
                <c:pt idx="2">
                  <c:v>4.0802321115893679E-2</c:v>
                </c:pt>
                <c:pt idx="3">
                  <c:v>4.6131038514593596E-2</c:v>
                </c:pt>
                <c:pt idx="4">
                  <c:v>4.956803012299079E-2</c:v>
                </c:pt>
                <c:pt idx="5">
                  <c:v>5.3040061061051268E-2</c:v>
                </c:pt>
                <c:pt idx="6">
                  <c:v>5.9796466364200086E-2</c:v>
                </c:pt>
                <c:pt idx="7">
                  <c:v>6.6334402256349567E-2</c:v>
                </c:pt>
                <c:pt idx="8">
                  <c:v>7.1343597870343375E-2</c:v>
                </c:pt>
                <c:pt idx="9">
                  <c:v>6.9976705617323554E-2</c:v>
                </c:pt>
                <c:pt idx="10">
                  <c:v>7.5497896045900389E-2</c:v>
                </c:pt>
                <c:pt idx="11">
                  <c:v>7.9356226900738222E-2</c:v>
                </c:pt>
                <c:pt idx="12">
                  <c:v>8.4141881671759108E-2</c:v>
                </c:pt>
                <c:pt idx="13">
                  <c:v>8.8788148611985113E-2</c:v>
                </c:pt>
                <c:pt idx="14">
                  <c:v>9.5021781040462064E-2</c:v>
                </c:pt>
                <c:pt idx="15">
                  <c:v>9.980931532230071E-2</c:v>
                </c:pt>
                <c:pt idx="16">
                  <c:v>0.10380097057787128</c:v>
                </c:pt>
                <c:pt idx="17">
                  <c:v>0.10949537667967384</c:v>
                </c:pt>
                <c:pt idx="18">
                  <c:v>0.11572098494999265</c:v>
                </c:pt>
                <c:pt idx="19">
                  <c:v>0.12167427699131468</c:v>
                </c:pt>
                <c:pt idx="20">
                  <c:v>0.13119972095580634</c:v>
                </c:pt>
                <c:pt idx="21">
                  <c:v>0.17174826827322848</c:v>
                </c:pt>
                <c:pt idx="22">
                  <c:v>0.1916884166892435</c:v>
                </c:pt>
                <c:pt idx="23">
                  <c:v>0.23739978949666674</c:v>
                </c:pt>
                <c:pt idx="24">
                  <c:v>0.26012973501083642</c:v>
                </c:pt>
                <c:pt idx="25">
                  <c:v>0.3037258476238418</c:v>
                </c:pt>
                <c:pt idx="26">
                  <c:v>0.32965106480420131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81-564C-ACCB-B6D9F6E2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16000"/>
        <c:axId val="247226368"/>
      </c:scatterChart>
      <c:valAx>
        <c:axId val="24721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26368"/>
        <c:crosses val="autoZero"/>
        <c:crossBetween val="midCat"/>
      </c:valAx>
      <c:valAx>
        <c:axId val="24722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1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AS210-A1:</a:t>
            </a:r>
            <a:r>
              <a:rPr lang="en-GB" baseline="0"/>
              <a:t> CP1, 50 Dith 50 Adap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AS239AB!$E$4:$E$32</c:f>
              <c:numCache>
                <c:formatCode>General</c:formatCode>
                <c:ptCount val="29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1.25</c:v>
                </c:pt>
                <c:pt idx="4">
                  <c:v>1.85</c:v>
                </c:pt>
                <c:pt idx="5">
                  <c:v>2.4666666666666668</c:v>
                </c:pt>
                <c:pt idx="6">
                  <c:v>3.0666666666666669</c:v>
                </c:pt>
                <c:pt idx="7">
                  <c:v>3.6666666666666665</c:v>
                </c:pt>
                <c:pt idx="8">
                  <c:v>4.2666666666666666</c:v>
                </c:pt>
                <c:pt idx="9">
                  <c:v>4.8666666666666663</c:v>
                </c:pt>
                <c:pt idx="10">
                  <c:v>5.4666666666666668</c:v>
                </c:pt>
                <c:pt idx="11">
                  <c:v>6.083333333333333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7.8833333333333337</c:v>
                </c:pt>
                <c:pt idx="15">
                  <c:v>8.4833333333333325</c:v>
                </c:pt>
                <c:pt idx="16">
                  <c:v>9.1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</c:v>
                </c:pt>
                <c:pt idx="20">
                  <c:v>11.5</c:v>
                </c:pt>
                <c:pt idx="21">
                  <c:v>12.116666666666667</c:v>
                </c:pt>
                <c:pt idx="22">
                  <c:v>16.016666666666666</c:v>
                </c:pt>
                <c:pt idx="23">
                  <c:v>22.05</c:v>
                </c:pt>
                <c:pt idx="24">
                  <c:v>36.549999999999997</c:v>
                </c:pt>
                <c:pt idx="25">
                  <c:v>40.43333333333333</c:v>
                </c:pt>
                <c:pt idx="26">
                  <c:v>46.466666666666669</c:v>
                </c:pt>
                <c:pt idx="27">
                  <c:v>60.666666666666664</c:v>
                </c:pt>
                <c:pt idx="28">
                  <c:v>74.95</c:v>
                </c:pt>
              </c:numCache>
            </c:numRef>
          </c:xVal>
          <c:yVal>
            <c:numRef>
              <c:f>AS239AB!$S$4:$S$32</c:f>
              <c:numCache>
                <c:formatCode>General</c:formatCode>
                <c:ptCount val="29"/>
                <c:pt idx="0">
                  <c:v>1</c:v>
                </c:pt>
                <c:pt idx="1">
                  <c:v>0.93394309280475063</c:v>
                </c:pt>
                <c:pt idx="2">
                  <c:v>0.23117567286298502</c:v>
                </c:pt>
                <c:pt idx="3">
                  <c:v>0.16645857407474551</c:v>
                </c:pt>
                <c:pt idx="4">
                  <c:v>0.16604076541923446</c:v>
                </c:pt>
                <c:pt idx="5">
                  <c:v>0.18119003722884888</c:v>
                </c:pt>
                <c:pt idx="6">
                  <c:v>0.19864328694022537</c:v>
                </c:pt>
                <c:pt idx="7">
                  <c:v>0.22344368171036044</c:v>
                </c:pt>
                <c:pt idx="8">
                  <c:v>0.25565154023166342</c:v>
                </c:pt>
                <c:pt idx="9">
                  <c:v>0.28126329945818024</c:v>
                </c:pt>
                <c:pt idx="10">
                  <c:v>0.30980320029752295</c:v>
                </c:pt>
                <c:pt idx="11">
                  <c:v>0.33956302247780623</c:v>
                </c:pt>
                <c:pt idx="12">
                  <c:v>0.36774128559377034</c:v>
                </c:pt>
                <c:pt idx="13">
                  <c:v>0.39921404245076769</c:v>
                </c:pt>
                <c:pt idx="14">
                  <c:v>0.42240573968132467</c:v>
                </c:pt>
                <c:pt idx="15">
                  <c:v>0.45988972829936664</c:v>
                </c:pt>
                <c:pt idx="16">
                  <c:v>0.48193491234227231</c:v>
                </c:pt>
                <c:pt idx="17">
                  <c:v>0.51303886430100742</c:v>
                </c:pt>
                <c:pt idx="18">
                  <c:v>0.53017838347881963</c:v>
                </c:pt>
                <c:pt idx="19">
                  <c:v>0.56001395312568969</c:v>
                </c:pt>
                <c:pt idx="20">
                  <c:v>0.58074592814285175</c:v>
                </c:pt>
                <c:pt idx="21">
                  <c:v>0.60636813719047067</c:v>
                </c:pt>
                <c:pt idx="22">
                  <c:v>0.70150082974925532</c:v>
                </c:pt>
                <c:pt idx="23">
                  <c:v>0.83121356111834921</c:v>
                </c:pt>
                <c:pt idx="24">
                  <c:v>0.95235701310283916</c:v>
                </c:pt>
                <c:pt idx="25">
                  <c:v>0.96618108888809162</c:v>
                </c:pt>
                <c:pt idx="26">
                  <c:v>0.98108141273083704</c:v>
                </c:pt>
                <c:pt idx="27">
                  <c:v>0.99420800433626622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36-B24F-BAB3-1EEC529091C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AS239AB!$E$4:$E$32</c:f>
              <c:numCache>
                <c:formatCode>General</c:formatCode>
                <c:ptCount val="29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1.25</c:v>
                </c:pt>
                <c:pt idx="4">
                  <c:v>1.85</c:v>
                </c:pt>
                <c:pt idx="5">
                  <c:v>2.4666666666666668</c:v>
                </c:pt>
                <c:pt idx="6">
                  <c:v>3.0666666666666669</c:v>
                </c:pt>
                <c:pt idx="7">
                  <c:v>3.6666666666666665</c:v>
                </c:pt>
                <c:pt idx="8">
                  <c:v>4.2666666666666666</c:v>
                </c:pt>
                <c:pt idx="9">
                  <c:v>4.8666666666666663</c:v>
                </c:pt>
                <c:pt idx="10">
                  <c:v>5.4666666666666668</c:v>
                </c:pt>
                <c:pt idx="11">
                  <c:v>6.083333333333333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7.8833333333333337</c:v>
                </c:pt>
                <c:pt idx="15">
                  <c:v>8.4833333333333325</c:v>
                </c:pt>
                <c:pt idx="16">
                  <c:v>9.1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</c:v>
                </c:pt>
                <c:pt idx="20">
                  <c:v>11.5</c:v>
                </c:pt>
                <c:pt idx="21">
                  <c:v>12.116666666666667</c:v>
                </c:pt>
                <c:pt idx="22">
                  <c:v>16.016666666666666</c:v>
                </c:pt>
                <c:pt idx="23">
                  <c:v>22.05</c:v>
                </c:pt>
                <c:pt idx="24">
                  <c:v>36.549999999999997</c:v>
                </c:pt>
                <c:pt idx="25">
                  <c:v>40.43333333333333</c:v>
                </c:pt>
                <c:pt idx="26">
                  <c:v>46.466666666666669</c:v>
                </c:pt>
                <c:pt idx="27">
                  <c:v>60.666666666666664</c:v>
                </c:pt>
                <c:pt idx="28">
                  <c:v>74.95</c:v>
                </c:pt>
              </c:numCache>
            </c:numRef>
          </c:xVal>
          <c:yVal>
            <c:numRef>
              <c:f>AS239AB!$T$4:$T$32</c:f>
              <c:numCache>
                <c:formatCode>General</c:formatCode>
                <c:ptCount val="29"/>
                <c:pt idx="0">
                  <c:v>0</c:v>
                </c:pt>
                <c:pt idx="1">
                  <c:v>9.8699445491635691E-3</c:v>
                </c:pt>
                <c:pt idx="2">
                  <c:v>2.351419615808294E-2</c:v>
                </c:pt>
                <c:pt idx="3">
                  <c:v>3.7994403665294822E-2</c:v>
                </c:pt>
                <c:pt idx="4">
                  <c:v>4.8824322977464252E-2</c:v>
                </c:pt>
                <c:pt idx="5">
                  <c:v>4.558294816251203E-2</c:v>
                </c:pt>
                <c:pt idx="6">
                  <c:v>4.4036626537122932E-2</c:v>
                </c:pt>
                <c:pt idx="7">
                  <c:v>4.1617666567735967E-2</c:v>
                </c:pt>
                <c:pt idx="8">
                  <c:v>3.8299617062993771E-2</c:v>
                </c:pt>
                <c:pt idx="9">
                  <c:v>3.6858924545306246E-2</c:v>
                </c:pt>
                <c:pt idx="10">
                  <c:v>3.2674198283322978E-2</c:v>
                </c:pt>
                <c:pt idx="11">
                  <c:v>3.1745231591322316E-2</c:v>
                </c:pt>
                <c:pt idx="12">
                  <c:v>3.1963331383821764E-2</c:v>
                </c:pt>
                <c:pt idx="13">
                  <c:v>2.7910995596561329E-2</c:v>
                </c:pt>
                <c:pt idx="14">
                  <c:v>2.581761946488784E-2</c:v>
                </c:pt>
                <c:pt idx="15">
                  <c:v>2.4630582937120046E-2</c:v>
                </c:pt>
                <c:pt idx="16">
                  <c:v>2.2049271443193678E-2</c:v>
                </c:pt>
                <c:pt idx="17">
                  <c:v>1.9713856585752688E-2</c:v>
                </c:pt>
                <c:pt idx="18">
                  <c:v>1.904173935099222E-2</c:v>
                </c:pt>
                <c:pt idx="19">
                  <c:v>1.697587167867981E-2</c:v>
                </c:pt>
                <c:pt idx="20">
                  <c:v>1.4796858024965033E-2</c:v>
                </c:pt>
                <c:pt idx="21">
                  <c:v>1.3100692409217855E-2</c:v>
                </c:pt>
                <c:pt idx="22">
                  <c:v>7.8092268655196116E-3</c:v>
                </c:pt>
                <c:pt idx="23">
                  <c:v>2.8586997375193743E-3</c:v>
                </c:pt>
                <c:pt idx="24">
                  <c:v>2.3448811159838647E-4</c:v>
                </c:pt>
                <c:pt idx="25">
                  <c:v>1.1208554051008981E-4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36-B24F-BAB3-1EEC529091C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AS239AB!$E$4:$E$32</c:f>
              <c:numCache>
                <c:formatCode>General</c:formatCode>
                <c:ptCount val="29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1.25</c:v>
                </c:pt>
                <c:pt idx="4">
                  <c:v>1.85</c:v>
                </c:pt>
                <c:pt idx="5">
                  <c:v>2.4666666666666668</c:v>
                </c:pt>
                <c:pt idx="6">
                  <c:v>3.0666666666666669</c:v>
                </c:pt>
                <c:pt idx="7">
                  <c:v>3.6666666666666665</c:v>
                </c:pt>
                <c:pt idx="8">
                  <c:v>4.2666666666666666</c:v>
                </c:pt>
                <c:pt idx="9">
                  <c:v>4.8666666666666663</c:v>
                </c:pt>
                <c:pt idx="10">
                  <c:v>5.4666666666666668</c:v>
                </c:pt>
                <c:pt idx="11">
                  <c:v>6.083333333333333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7.8833333333333337</c:v>
                </c:pt>
                <c:pt idx="15">
                  <c:v>8.4833333333333325</c:v>
                </c:pt>
                <c:pt idx="16">
                  <c:v>9.1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</c:v>
                </c:pt>
                <c:pt idx="20">
                  <c:v>11.5</c:v>
                </c:pt>
                <c:pt idx="21">
                  <c:v>12.116666666666667</c:v>
                </c:pt>
                <c:pt idx="22">
                  <c:v>16.016666666666666</c:v>
                </c:pt>
                <c:pt idx="23">
                  <c:v>22.05</c:v>
                </c:pt>
                <c:pt idx="24">
                  <c:v>36.549999999999997</c:v>
                </c:pt>
                <c:pt idx="25">
                  <c:v>40.43333333333333</c:v>
                </c:pt>
                <c:pt idx="26">
                  <c:v>46.466666666666669</c:v>
                </c:pt>
                <c:pt idx="27">
                  <c:v>60.666666666666664</c:v>
                </c:pt>
                <c:pt idx="28">
                  <c:v>74.95</c:v>
                </c:pt>
              </c:numCache>
            </c:numRef>
          </c:xVal>
          <c:yVal>
            <c:numRef>
              <c:f>AS239AB!$U$4:$U$32</c:f>
              <c:numCache>
                <c:formatCode>General</c:formatCode>
                <c:ptCount val="29"/>
                <c:pt idx="0">
                  <c:v>0</c:v>
                </c:pt>
                <c:pt idx="1">
                  <c:v>5.6186962646085852E-2</c:v>
                </c:pt>
                <c:pt idx="2">
                  <c:v>0.74531013097893206</c:v>
                </c:pt>
                <c:pt idx="3">
                  <c:v>0.79554702225995966</c:v>
                </c:pt>
                <c:pt idx="4">
                  <c:v>0.7851349116033014</c:v>
                </c:pt>
                <c:pt idx="5">
                  <c:v>0.77322701460863907</c:v>
                </c:pt>
                <c:pt idx="6">
                  <c:v>0.75732008652265181</c:v>
                </c:pt>
                <c:pt idx="7">
                  <c:v>0.73493865172190354</c:v>
                </c:pt>
                <c:pt idx="8">
                  <c:v>0.70604884270534285</c:v>
                </c:pt>
                <c:pt idx="9">
                  <c:v>0.68187777599651345</c:v>
                </c:pt>
                <c:pt idx="10">
                  <c:v>0.65752260141915408</c:v>
                </c:pt>
                <c:pt idx="11">
                  <c:v>0.62869174593087152</c:v>
                </c:pt>
                <c:pt idx="12">
                  <c:v>0.60029538302240792</c:v>
                </c:pt>
                <c:pt idx="13">
                  <c:v>0.57287496195267096</c:v>
                </c:pt>
                <c:pt idx="14">
                  <c:v>0.55177664085378753</c:v>
                </c:pt>
                <c:pt idx="15">
                  <c:v>0.51547968876351336</c:v>
                </c:pt>
                <c:pt idx="16">
                  <c:v>0.49601581621453394</c:v>
                </c:pt>
                <c:pt idx="17">
                  <c:v>0.46724727911323982</c:v>
                </c:pt>
                <c:pt idx="18">
                  <c:v>0.45077987717018808</c:v>
                </c:pt>
                <c:pt idx="19">
                  <c:v>0.42301017519563044</c:v>
                </c:pt>
                <c:pt idx="20">
                  <c:v>0.40445721383218319</c:v>
                </c:pt>
                <c:pt idx="21">
                  <c:v>0.38053117040031159</c:v>
                </c:pt>
                <c:pt idx="22">
                  <c:v>0.29068994338522491</c:v>
                </c:pt>
                <c:pt idx="23">
                  <c:v>0.16592773914413142</c:v>
                </c:pt>
                <c:pt idx="24">
                  <c:v>4.7408498785562331E-2</c:v>
                </c:pt>
                <c:pt idx="25">
                  <c:v>3.3706825571398237E-2</c:v>
                </c:pt>
                <c:pt idx="26">
                  <c:v>1.8918587269162887E-2</c:v>
                </c:pt>
                <c:pt idx="27">
                  <c:v>5.7919956637337844E-3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36-B24F-BAB3-1EEC52909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604544"/>
        <c:axId val="246606464"/>
      </c:scatterChart>
      <c:valAx>
        <c:axId val="246604544"/>
        <c:scaling>
          <c:orientation val="minMax"/>
          <c:max val="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06464"/>
        <c:crosses val="autoZero"/>
        <c:crossBetween val="midCat"/>
      </c:valAx>
      <c:valAx>
        <c:axId val="246606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04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AS239AB!$E$77:$E$105</c:f>
              <c:numCache>
                <c:formatCode>General</c:formatCode>
                <c:ptCount val="29"/>
                <c:pt idx="0">
                  <c:v>0</c:v>
                </c:pt>
                <c:pt idx="1">
                  <c:v>0.05</c:v>
                </c:pt>
                <c:pt idx="2">
                  <c:v>0.65</c:v>
                </c:pt>
                <c:pt idx="3">
                  <c:v>1.2666666666666666</c:v>
                </c:pt>
                <c:pt idx="4">
                  <c:v>1.8666666666666667</c:v>
                </c:pt>
                <c:pt idx="5">
                  <c:v>2.4666666666666668</c:v>
                </c:pt>
                <c:pt idx="6">
                  <c:v>3.0666666666666669</c:v>
                </c:pt>
                <c:pt idx="7">
                  <c:v>3.6666666666666665</c:v>
                </c:pt>
                <c:pt idx="8">
                  <c:v>4.2833333333333332</c:v>
                </c:pt>
                <c:pt idx="9">
                  <c:v>4.8833333333333337</c:v>
                </c:pt>
                <c:pt idx="10">
                  <c:v>5.4833333333333334</c:v>
                </c:pt>
                <c:pt idx="11">
                  <c:v>6.083333333333333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7.9</c:v>
                </c:pt>
                <c:pt idx="15">
                  <c:v>8.5</c:v>
                </c:pt>
                <c:pt idx="16">
                  <c:v>9.1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10.916666666666666</c:v>
                </c:pt>
                <c:pt idx="20">
                  <c:v>11.516666666666667</c:v>
                </c:pt>
                <c:pt idx="21">
                  <c:v>12.116666666666667</c:v>
                </c:pt>
                <c:pt idx="22">
                  <c:v>16.033333333333335</c:v>
                </c:pt>
                <c:pt idx="23">
                  <c:v>22.066666666666666</c:v>
                </c:pt>
                <c:pt idx="24">
                  <c:v>36.56666666666667</c:v>
                </c:pt>
                <c:pt idx="25">
                  <c:v>40.450000000000003</c:v>
                </c:pt>
                <c:pt idx="26">
                  <c:v>46.466666666666669</c:v>
                </c:pt>
                <c:pt idx="27">
                  <c:v>60.666666666666664</c:v>
                </c:pt>
                <c:pt idx="28">
                  <c:v>74.95</c:v>
                </c:pt>
              </c:numCache>
            </c:numRef>
          </c:xVal>
          <c:yVal>
            <c:numRef>
              <c:f>AS239AB!$S$77:$S$105</c:f>
              <c:numCache>
                <c:formatCode>General</c:formatCode>
                <c:ptCount val="29"/>
                <c:pt idx="0">
                  <c:v>1</c:v>
                </c:pt>
                <c:pt idx="1">
                  <c:v>0.90442581093264474</c:v>
                </c:pt>
                <c:pt idx="2">
                  <c:v>0.18171219747525785</c:v>
                </c:pt>
                <c:pt idx="3">
                  <c:v>0.15027685816180322</c:v>
                </c:pt>
                <c:pt idx="4">
                  <c:v>0.14131461989723312</c:v>
                </c:pt>
                <c:pt idx="5">
                  <c:v>0.13588916730644182</c:v>
                </c:pt>
                <c:pt idx="6">
                  <c:v>0.13590112677698535</c:v>
                </c:pt>
                <c:pt idx="7">
                  <c:v>0.13642773443298439</c:v>
                </c:pt>
                <c:pt idx="8">
                  <c:v>0.13900157729452087</c:v>
                </c:pt>
                <c:pt idx="9">
                  <c:v>0.14814691854312184</c:v>
                </c:pt>
                <c:pt idx="10">
                  <c:v>0.15966863281007307</c:v>
                </c:pt>
                <c:pt idx="11">
                  <c:v>0.16662202102504811</c:v>
                </c:pt>
                <c:pt idx="12">
                  <c:v>0.18258927188785967</c:v>
                </c:pt>
                <c:pt idx="13">
                  <c:v>0.19708647663065254</c:v>
                </c:pt>
                <c:pt idx="14">
                  <c:v>0.22298410659833176</c:v>
                </c:pt>
                <c:pt idx="15">
                  <c:v>0.23846598078191023</c:v>
                </c:pt>
                <c:pt idx="16">
                  <c:v>0.25840777223885891</c:v>
                </c:pt>
                <c:pt idx="17">
                  <c:v>0.27652023718275487</c:v>
                </c:pt>
                <c:pt idx="18">
                  <c:v>0.29675680376882912</c:v>
                </c:pt>
                <c:pt idx="19">
                  <c:v>0.31550633024618768</c:v>
                </c:pt>
                <c:pt idx="20">
                  <c:v>0.3337332365279122</c:v>
                </c:pt>
                <c:pt idx="21">
                  <c:v>0.3525408470250207</c:v>
                </c:pt>
                <c:pt idx="22">
                  <c:v>0.46443005607420867</c:v>
                </c:pt>
                <c:pt idx="23">
                  <c:v>0.61009789851497875</c:v>
                </c:pt>
                <c:pt idx="24">
                  <c:v>0.82197476991495644</c:v>
                </c:pt>
                <c:pt idx="25">
                  <c:v>0.85875953644400382</c:v>
                </c:pt>
                <c:pt idx="26">
                  <c:v>0.89861193427558306</c:v>
                </c:pt>
                <c:pt idx="27">
                  <c:v>0.94835075639024269</c:v>
                </c:pt>
                <c:pt idx="28">
                  <c:v>0.97687564349784384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9-CA44-85CB-50720B42F663}"/>
            </c:ext>
          </c:extLst>
        </c:ser>
        <c:ser>
          <c:idx val="1"/>
          <c:order val="1"/>
          <c:spPr>
            <a:ln w="19050">
              <a:noFill/>
            </a:ln>
          </c:spPr>
          <c:xVal>
            <c:numRef>
              <c:f>AS239AB!$E$77:$E$105</c:f>
              <c:numCache>
                <c:formatCode>General</c:formatCode>
                <c:ptCount val="29"/>
                <c:pt idx="0">
                  <c:v>0</c:v>
                </c:pt>
                <c:pt idx="1">
                  <c:v>0.05</c:v>
                </c:pt>
                <c:pt idx="2">
                  <c:v>0.65</c:v>
                </c:pt>
                <c:pt idx="3">
                  <c:v>1.2666666666666666</c:v>
                </c:pt>
                <c:pt idx="4">
                  <c:v>1.8666666666666667</c:v>
                </c:pt>
                <c:pt idx="5">
                  <c:v>2.4666666666666668</c:v>
                </c:pt>
                <c:pt idx="6">
                  <c:v>3.0666666666666669</c:v>
                </c:pt>
                <c:pt idx="7">
                  <c:v>3.6666666666666665</c:v>
                </c:pt>
                <c:pt idx="8">
                  <c:v>4.2833333333333332</c:v>
                </c:pt>
                <c:pt idx="9">
                  <c:v>4.8833333333333337</c:v>
                </c:pt>
                <c:pt idx="10">
                  <c:v>5.4833333333333334</c:v>
                </c:pt>
                <c:pt idx="11">
                  <c:v>6.083333333333333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7.9</c:v>
                </c:pt>
                <c:pt idx="15">
                  <c:v>8.5</c:v>
                </c:pt>
                <c:pt idx="16">
                  <c:v>9.1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10.916666666666666</c:v>
                </c:pt>
                <c:pt idx="20">
                  <c:v>11.516666666666667</c:v>
                </c:pt>
                <c:pt idx="21">
                  <c:v>12.116666666666667</c:v>
                </c:pt>
                <c:pt idx="22">
                  <c:v>16.033333333333335</c:v>
                </c:pt>
                <c:pt idx="23">
                  <c:v>22.066666666666666</c:v>
                </c:pt>
                <c:pt idx="24">
                  <c:v>36.56666666666667</c:v>
                </c:pt>
                <c:pt idx="25">
                  <c:v>40.450000000000003</c:v>
                </c:pt>
                <c:pt idx="26">
                  <c:v>46.466666666666669</c:v>
                </c:pt>
                <c:pt idx="27">
                  <c:v>60.666666666666664</c:v>
                </c:pt>
                <c:pt idx="28">
                  <c:v>74.95</c:v>
                </c:pt>
              </c:numCache>
            </c:numRef>
          </c:xVal>
          <c:yVal>
            <c:numRef>
              <c:f>AS239AB!$T$77:$T$105</c:f>
              <c:numCache>
                <c:formatCode>General</c:formatCode>
                <c:ptCount val="29"/>
                <c:pt idx="0">
                  <c:v>0</c:v>
                </c:pt>
                <c:pt idx="1">
                  <c:v>1.47899927903474E-2</c:v>
                </c:pt>
                <c:pt idx="2">
                  <c:v>2.140380385077224E-2</c:v>
                </c:pt>
                <c:pt idx="3">
                  <c:v>3.8213605856312526E-2</c:v>
                </c:pt>
                <c:pt idx="4">
                  <c:v>5.2178148868153876E-2</c:v>
                </c:pt>
                <c:pt idx="5">
                  <c:v>6.1283874209167449E-2</c:v>
                </c:pt>
                <c:pt idx="6">
                  <c:v>6.640193742894461E-2</c:v>
                </c:pt>
                <c:pt idx="7">
                  <c:v>7.0895240931213965E-2</c:v>
                </c:pt>
                <c:pt idx="8">
                  <c:v>7.2029989322009463E-2</c:v>
                </c:pt>
                <c:pt idx="9">
                  <c:v>7.0620662927941155E-2</c:v>
                </c:pt>
                <c:pt idx="10">
                  <c:v>7.1322126715861481E-2</c:v>
                </c:pt>
                <c:pt idx="11">
                  <c:v>6.7419110384257991E-2</c:v>
                </c:pt>
                <c:pt idx="12">
                  <c:v>6.4922370184331404E-2</c:v>
                </c:pt>
                <c:pt idx="13">
                  <c:v>6.4302371170043449E-2</c:v>
                </c:pt>
                <c:pt idx="14">
                  <c:v>6.1227727252858653E-2</c:v>
                </c:pt>
                <c:pt idx="15">
                  <c:v>5.8227156840061224E-2</c:v>
                </c:pt>
                <c:pt idx="16">
                  <c:v>5.6767511835705185E-2</c:v>
                </c:pt>
                <c:pt idx="17">
                  <c:v>5.236778524115461E-2</c:v>
                </c:pt>
                <c:pt idx="18">
                  <c:v>4.936364105351173E-2</c:v>
                </c:pt>
                <c:pt idx="19">
                  <c:v>4.9057497630016475E-2</c:v>
                </c:pt>
                <c:pt idx="20">
                  <c:v>4.4041444431661199E-2</c:v>
                </c:pt>
                <c:pt idx="21">
                  <c:v>4.4034678556876032E-2</c:v>
                </c:pt>
                <c:pt idx="22">
                  <c:v>3.2761982600043135E-2</c:v>
                </c:pt>
                <c:pt idx="23">
                  <c:v>2.0005418689160486E-2</c:v>
                </c:pt>
                <c:pt idx="24">
                  <c:v>7.3646745120566088E-3</c:v>
                </c:pt>
                <c:pt idx="25">
                  <c:v>5.5966502826142626E-3</c:v>
                </c:pt>
                <c:pt idx="26">
                  <c:v>3.248017662777377E-3</c:v>
                </c:pt>
                <c:pt idx="27">
                  <c:v>1.23854926530174E-3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9-CA44-85CB-50720B42F663}"/>
            </c:ext>
          </c:extLst>
        </c:ser>
        <c:ser>
          <c:idx val="2"/>
          <c:order val="2"/>
          <c:spPr>
            <a:ln w="19050">
              <a:noFill/>
            </a:ln>
          </c:spPr>
          <c:xVal>
            <c:numRef>
              <c:f>AS239AB!$E$77:$E$105</c:f>
              <c:numCache>
                <c:formatCode>General</c:formatCode>
                <c:ptCount val="29"/>
                <c:pt idx="0">
                  <c:v>0</c:v>
                </c:pt>
                <c:pt idx="1">
                  <c:v>0.05</c:v>
                </c:pt>
                <c:pt idx="2">
                  <c:v>0.65</c:v>
                </c:pt>
                <c:pt idx="3">
                  <c:v>1.2666666666666666</c:v>
                </c:pt>
                <c:pt idx="4">
                  <c:v>1.8666666666666667</c:v>
                </c:pt>
                <c:pt idx="5">
                  <c:v>2.4666666666666668</c:v>
                </c:pt>
                <c:pt idx="6">
                  <c:v>3.0666666666666669</c:v>
                </c:pt>
                <c:pt idx="7">
                  <c:v>3.6666666666666665</c:v>
                </c:pt>
                <c:pt idx="8">
                  <c:v>4.2833333333333332</c:v>
                </c:pt>
                <c:pt idx="9">
                  <c:v>4.8833333333333337</c:v>
                </c:pt>
                <c:pt idx="10">
                  <c:v>5.4833333333333334</c:v>
                </c:pt>
                <c:pt idx="11">
                  <c:v>6.083333333333333</c:v>
                </c:pt>
                <c:pt idx="12">
                  <c:v>6.6833333333333336</c:v>
                </c:pt>
                <c:pt idx="13">
                  <c:v>7.2833333333333332</c:v>
                </c:pt>
                <c:pt idx="14">
                  <c:v>7.9</c:v>
                </c:pt>
                <c:pt idx="15">
                  <c:v>8.5</c:v>
                </c:pt>
                <c:pt idx="16">
                  <c:v>9.1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10.916666666666666</c:v>
                </c:pt>
                <c:pt idx="20">
                  <c:v>11.516666666666667</c:v>
                </c:pt>
                <c:pt idx="21">
                  <c:v>12.116666666666667</c:v>
                </c:pt>
                <c:pt idx="22">
                  <c:v>16.033333333333335</c:v>
                </c:pt>
                <c:pt idx="23">
                  <c:v>22.066666666666666</c:v>
                </c:pt>
                <c:pt idx="24">
                  <c:v>36.56666666666667</c:v>
                </c:pt>
                <c:pt idx="25">
                  <c:v>40.450000000000003</c:v>
                </c:pt>
                <c:pt idx="26">
                  <c:v>46.466666666666669</c:v>
                </c:pt>
                <c:pt idx="27">
                  <c:v>60.666666666666664</c:v>
                </c:pt>
                <c:pt idx="28">
                  <c:v>74.95</c:v>
                </c:pt>
              </c:numCache>
            </c:numRef>
          </c:xVal>
          <c:yVal>
            <c:numRef>
              <c:f>AS239AB!$U$77:$U$105</c:f>
              <c:numCache>
                <c:formatCode>General</c:formatCode>
                <c:ptCount val="29"/>
                <c:pt idx="0">
                  <c:v>0</c:v>
                </c:pt>
                <c:pt idx="1">
                  <c:v>8.0784196277007905E-2</c:v>
                </c:pt>
                <c:pt idx="2">
                  <c:v>0.79688399867396986</c:v>
                </c:pt>
                <c:pt idx="3">
                  <c:v>0.81150953598188424</c:v>
                </c:pt>
                <c:pt idx="4">
                  <c:v>0.80650723123461299</c:v>
                </c:pt>
                <c:pt idx="5">
                  <c:v>0.80282695848439067</c:v>
                </c:pt>
                <c:pt idx="6">
                  <c:v>0.79769693579407008</c:v>
                </c:pt>
                <c:pt idx="7">
                  <c:v>0.7926770246358017</c:v>
                </c:pt>
                <c:pt idx="8">
                  <c:v>0.78896843338346967</c:v>
                </c:pt>
                <c:pt idx="9">
                  <c:v>0.78123241852893699</c:v>
                </c:pt>
                <c:pt idx="10">
                  <c:v>0.76900924047406538</c:v>
                </c:pt>
                <c:pt idx="11">
                  <c:v>0.76595886859069395</c:v>
                </c:pt>
                <c:pt idx="12">
                  <c:v>0.75248835792780888</c:v>
                </c:pt>
                <c:pt idx="13">
                  <c:v>0.73861115219930396</c:v>
                </c:pt>
                <c:pt idx="14">
                  <c:v>0.71578816614880969</c:v>
                </c:pt>
                <c:pt idx="15">
                  <c:v>0.70330686237802864</c:v>
                </c:pt>
                <c:pt idx="16">
                  <c:v>0.68482471592543581</c:v>
                </c:pt>
                <c:pt idx="17">
                  <c:v>0.67111197757609065</c:v>
                </c:pt>
                <c:pt idx="18">
                  <c:v>0.65387955517765917</c:v>
                </c:pt>
                <c:pt idx="19">
                  <c:v>0.63543617212379588</c:v>
                </c:pt>
                <c:pt idx="20">
                  <c:v>0.62222531904042666</c:v>
                </c:pt>
                <c:pt idx="21">
                  <c:v>0.60342447441810332</c:v>
                </c:pt>
                <c:pt idx="22">
                  <c:v>0.50280796132574823</c:v>
                </c:pt>
                <c:pt idx="23">
                  <c:v>0.36989668279586074</c:v>
                </c:pt>
                <c:pt idx="24">
                  <c:v>0.17066055557298693</c:v>
                </c:pt>
                <c:pt idx="25">
                  <c:v>0.13564381327338201</c:v>
                </c:pt>
                <c:pt idx="26">
                  <c:v>9.814004806163952E-2</c:v>
                </c:pt>
                <c:pt idx="27">
                  <c:v>5.0410694344455692E-2</c:v>
                </c:pt>
                <c:pt idx="28">
                  <c:v>2.3124356502156201E-2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29-CA44-85CB-50720B42F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41472"/>
        <c:axId val="246443008"/>
      </c:scatterChart>
      <c:valAx>
        <c:axId val="24644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6443008"/>
        <c:crosses val="autoZero"/>
        <c:crossBetween val="midCat"/>
      </c:valAx>
      <c:valAx>
        <c:axId val="246443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6441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135169</xdr:colOff>
      <xdr:row>9</xdr:row>
      <xdr:rowOff>27369</xdr:rowOff>
    </xdr:from>
    <xdr:to>
      <xdr:col>49</xdr:col>
      <xdr:colOff>524932</xdr:colOff>
      <xdr:row>29</xdr:row>
      <xdr:rowOff>172641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499146</xdr:colOff>
      <xdr:row>85</xdr:row>
      <xdr:rowOff>60647</xdr:rowOff>
    </xdr:from>
    <xdr:to>
      <xdr:col>49</xdr:col>
      <xdr:colOff>435647</xdr:colOff>
      <xdr:row>110</xdr:row>
      <xdr:rowOff>180126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396429</xdr:colOff>
      <xdr:row>112</xdr:row>
      <xdr:rowOff>28960</xdr:rowOff>
    </xdr:from>
    <xdr:to>
      <xdr:col>49</xdr:col>
      <xdr:colOff>415419</xdr:colOff>
      <xdr:row>138</xdr:row>
      <xdr:rowOff>144803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617682</xdr:colOff>
      <xdr:row>5</xdr:row>
      <xdr:rowOff>163946</xdr:rowOff>
    </xdr:from>
    <xdr:to>
      <xdr:col>30</xdr:col>
      <xdr:colOff>138545</xdr:colOff>
      <xdr:row>27</xdr:row>
      <xdr:rowOff>34636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552978</xdr:colOff>
      <xdr:row>71</xdr:row>
      <xdr:rowOff>189443</xdr:rowOff>
    </xdr:from>
    <xdr:to>
      <xdr:col>27</xdr:col>
      <xdr:colOff>552978</xdr:colOff>
      <xdr:row>85</xdr:row>
      <xdr:rowOff>159809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5"/>
  <sheetViews>
    <sheetView topLeftCell="A16" zoomScale="80" zoomScaleNormal="80" workbookViewId="0">
      <pane xSplit="1" topLeftCell="B1" activePane="topRight" state="frozen"/>
      <selection pane="topRight" activeCell="AG39" sqref="AG39"/>
    </sheetView>
  </sheetViews>
  <sheetFormatPr baseColWidth="10" defaultColWidth="9.1640625" defaultRowHeight="15" x14ac:dyDescent="0.2"/>
  <cols>
    <col min="1" max="1" width="29" customWidth="1"/>
    <col min="2" max="2" width="3.83203125" customWidth="1"/>
    <col min="3" max="4" width="9.83203125" customWidth="1"/>
    <col min="5" max="5" width="9.5" customWidth="1"/>
    <col min="6" max="6" width="11.1640625" bestFit="1" customWidth="1"/>
    <col min="7" max="7" width="12.1640625" bestFit="1" customWidth="1"/>
    <col min="9" max="9" width="12.1640625" bestFit="1" customWidth="1"/>
    <col min="11" max="11" width="11.1640625" bestFit="1" customWidth="1"/>
    <col min="13" max="13" width="9.33203125" bestFit="1" customWidth="1"/>
    <col min="15" max="15" width="12.1640625" bestFit="1" customWidth="1"/>
    <col min="16" max="16" width="9.33203125" bestFit="1" customWidth="1"/>
    <col min="18" max="18" width="12.1640625" bestFit="1" customWidth="1"/>
    <col min="19" max="19" width="9.33203125" bestFit="1" customWidth="1"/>
    <col min="21" max="21" width="12.1640625" bestFit="1" customWidth="1"/>
    <col min="23" max="23" width="9.33203125" bestFit="1" customWidth="1"/>
    <col min="25" max="25" width="11.1640625" bestFit="1" customWidth="1"/>
    <col min="28" max="29" width="9.33203125" bestFit="1" customWidth="1"/>
    <col min="30" max="30" width="10.83203125" bestFit="1" customWidth="1"/>
  </cols>
  <sheetData>
    <row r="1" spans="1:56" x14ac:dyDescent="0.2">
      <c r="B1" t="s">
        <v>14</v>
      </c>
      <c r="C1" t="s">
        <v>15</v>
      </c>
      <c r="D1" t="s">
        <v>16</v>
      </c>
      <c r="E1" t="s">
        <v>10</v>
      </c>
      <c r="O1" t="s">
        <v>11</v>
      </c>
      <c r="R1" t="s">
        <v>9</v>
      </c>
      <c r="U1" t="s">
        <v>12</v>
      </c>
      <c r="W1" t="s">
        <v>17</v>
      </c>
    </row>
    <row r="2" spans="1:56" x14ac:dyDescent="0.2">
      <c r="F2" s="1">
        <v>395.87</v>
      </c>
      <c r="G2" s="1">
        <v>593.29999999999995</v>
      </c>
      <c r="H2" s="1"/>
      <c r="I2" s="1">
        <v>693.3</v>
      </c>
      <c r="J2" s="1"/>
      <c r="K2" s="1">
        <v>669.3</v>
      </c>
      <c r="L2" s="1"/>
      <c r="M2" s="1">
        <v>793.3</v>
      </c>
      <c r="O2" s="1">
        <v>399.87869999999998</v>
      </c>
      <c r="P2" s="1">
        <v>599.30340000000001</v>
      </c>
      <c r="R2" s="1">
        <v>409.54649999999998</v>
      </c>
      <c r="S2" s="1">
        <v>614.30830000000003</v>
      </c>
      <c r="U2" s="1">
        <v>628.28800000000001</v>
      </c>
      <c r="W2" s="1">
        <v>684.31370000000004</v>
      </c>
      <c r="Y2" t="s">
        <v>0</v>
      </c>
      <c r="AB2" t="s">
        <v>1</v>
      </c>
      <c r="AC2" t="s">
        <v>2</v>
      </c>
      <c r="AD2" t="s">
        <v>18</v>
      </c>
      <c r="AE2" t="s">
        <v>4</v>
      </c>
      <c r="AF2" t="s">
        <v>7</v>
      </c>
      <c r="AG2" t="s">
        <v>8</v>
      </c>
      <c r="AJ2">
        <v>684</v>
      </c>
      <c r="AM2" t="s">
        <v>19</v>
      </c>
      <c r="AN2" t="s">
        <v>20</v>
      </c>
      <c r="AO2" t="s">
        <v>21</v>
      </c>
      <c r="AP2" t="s">
        <v>22</v>
      </c>
      <c r="AQ2" t="s">
        <v>2</v>
      </c>
      <c r="AR2" t="s">
        <v>22</v>
      </c>
      <c r="AS2" t="s">
        <v>23</v>
      </c>
      <c r="AT2" t="s">
        <v>22</v>
      </c>
      <c r="AU2" t="s">
        <v>24</v>
      </c>
      <c r="AV2" t="s">
        <v>22</v>
      </c>
      <c r="BD2" t="s">
        <v>13</v>
      </c>
    </row>
    <row r="3" spans="1:56" x14ac:dyDescent="0.2">
      <c r="B3">
        <v>1</v>
      </c>
      <c r="C3">
        <v>20</v>
      </c>
      <c r="D3">
        <v>45</v>
      </c>
      <c r="E3">
        <v>0</v>
      </c>
      <c r="AC3">
        <v>0</v>
      </c>
      <c r="AD3">
        <v>0</v>
      </c>
      <c r="AE3">
        <v>0</v>
      </c>
      <c r="AG3">
        <v>1</v>
      </c>
      <c r="AN3">
        <f t="shared" ref="AN3:AN8" si="0">AVERAGE(E3,E74)</f>
        <v>0</v>
      </c>
      <c r="AO3">
        <f t="shared" ref="AO3:AO8" si="1">AVERAGE(AG3,AG74)</f>
        <v>1</v>
      </c>
      <c r="AP3">
        <f t="shared" ref="AP3:AP8" si="2">_xlfn.STDEV.P(AG3,AG74)</f>
        <v>0</v>
      </c>
      <c r="AQ3">
        <f t="shared" ref="AQ3:AQ8" si="3">AVERAGE(AC3,AC74)</f>
        <v>0</v>
      </c>
      <c r="AR3">
        <f t="shared" ref="AR3:AR8" si="4">_xlfn.STDEV.P(AC3,AC74)</f>
        <v>0</v>
      </c>
      <c r="AS3">
        <f t="shared" ref="AS3:AS8" si="5">AVERAGE(AD3,AD74)</f>
        <v>0</v>
      </c>
      <c r="AT3">
        <f t="shared" ref="AT3:AT8" si="6">_xlfn.STDEV.P(AD3,AD74)</f>
        <v>0</v>
      </c>
      <c r="AU3">
        <f t="shared" ref="AU3:AU8" si="7">AVERAGE(AE3,AE74)</f>
        <v>0</v>
      </c>
      <c r="AV3" t="e">
        <f t="shared" ref="AV3:AV8" si="8">STDEV(AE3,AE74)</f>
        <v>#DIV/0!</v>
      </c>
      <c r="BC3">
        <v>3</v>
      </c>
      <c r="BD3">
        <v>405.87459999999999</v>
      </c>
    </row>
    <row r="4" spans="1:56" x14ac:dyDescent="0.2">
      <c r="A4" t="s">
        <v>131</v>
      </c>
      <c r="B4">
        <v>1</v>
      </c>
      <c r="C4">
        <v>20</v>
      </c>
      <c r="D4">
        <v>47</v>
      </c>
      <c r="E4">
        <f>(B4-$B$3)*24+(C4-$C$3)+(D4-$D$3)/60</f>
        <v>3.3333333333333333E-2</v>
      </c>
      <c r="F4">
        <v>2307650103.9050002</v>
      </c>
      <c r="G4">
        <v>215732329.236</v>
      </c>
      <c r="H4" s="5"/>
      <c r="I4">
        <v>197817597.91</v>
      </c>
      <c r="J4" s="5"/>
      <c r="K4">
        <v>15005450.91</v>
      </c>
      <c r="L4" s="5"/>
      <c r="M4">
        <v>9935011.3029999994</v>
      </c>
      <c r="N4" s="5"/>
      <c r="O4">
        <v>49765394.075999998</v>
      </c>
      <c r="P4">
        <v>4291429.8080000002</v>
      </c>
      <c r="Q4" s="5"/>
      <c r="R4">
        <v>6464078.9639999997</v>
      </c>
      <c r="S4">
        <v>106093.351</v>
      </c>
      <c r="T4" s="5"/>
      <c r="U4" s="5"/>
      <c r="V4" s="5"/>
      <c r="W4" s="5"/>
      <c r="Y4">
        <f>SUM(F4,G4,I4,K4,M4,O4,P4,R4,S4,U4,W4)</f>
        <v>2806767489.4630003</v>
      </c>
      <c r="AB4">
        <f t="shared" ref="AB4:AB26" si="9">(F4+G4)/Y4</f>
        <v>0.89903507954047945</v>
      </c>
      <c r="AC4">
        <f t="shared" ref="AC4:AC26" si="10">I4/Y4</f>
        <v>7.0478797639147189E-2</v>
      </c>
      <c r="AD4">
        <f>(K4+U4)/Y4</f>
        <v>5.3461681333892355E-3</v>
      </c>
      <c r="AE4">
        <f t="shared" ref="AE4:AE26" si="11">M4/Y4</f>
        <v>3.5396630965327295E-3</v>
      </c>
      <c r="AF4">
        <f t="shared" ref="AF4:AF26" si="12">SUM(O4:P4)/Y4</f>
        <v>1.9259459177483319E-2</v>
      </c>
      <c r="AG4">
        <f t="shared" ref="AG4:AG26" si="13">AB4+AF4+SUM(R4:S4)/Y4</f>
        <v>0.92063537113093086</v>
      </c>
      <c r="AJ4">
        <f>W4/Y4</f>
        <v>0</v>
      </c>
      <c r="AN4">
        <f t="shared" si="0"/>
        <v>3.3333333333333333E-2</v>
      </c>
      <c r="AO4">
        <f t="shared" si="1"/>
        <v>0.92063537113093086</v>
      </c>
      <c r="AP4">
        <f t="shared" si="2"/>
        <v>0</v>
      </c>
      <c r="AQ4">
        <f t="shared" si="3"/>
        <v>7.0478797639147189E-2</v>
      </c>
      <c r="AR4">
        <f t="shared" si="4"/>
        <v>0</v>
      </c>
      <c r="AS4">
        <f t="shared" si="5"/>
        <v>5.3461681333892355E-3</v>
      </c>
      <c r="AT4">
        <f t="shared" si="6"/>
        <v>0</v>
      </c>
      <c r="AU4">
        <f t="shared" si="7"/>
        <v>3.5396630965327295E-3</v>
      </c>
      <c r="AV4" t="e">
        <f t="shared" si="8"/>
        <v>#DIV/0!</v>
      </c>
      <c r="BC4">
        <v>3</v>
      </c>
      <c r="BD4">
        <v>412.53070000000002</v>
      </c>
    </row>
    <row r="5" spans="1:56" x14ac:dyDescent="0.2">
      <c r="A5" t="s">
        <v>132</v>
      </c>
      <c r="B5">
        <v>1</v>
      </c>
      <c r="C5">
        <v>21</v>
      </c>
      <c r="D5">
        <v>24</v>
      </c>
      <c r="E5">
        <f t="shared" ref="E5:E30" si="14">(B5-$B$3)*24+(C5-$C$3)+(D5-$D$3)/60</f>
        <v>0.65</v>
      </c>
      <c r="F5">
        <v>476022279.85600001</v>
      </c>
      <c r="G5">
        <v>47291027.233000003</v>
      </c>
      <c r="H5" s="5"/>
      <c r="I5">
        <v>1389020611.073</v>
      </c>
      <c r="J5" s="5"/>
      <c r="K5">
        <v>523166061.454</v>
      </c>
      <c r="L5" s="5"/>
      <c r="M5">
        <v>21309869.022</v>
      </c>
      <c r="N5" s="5"/>
      <c r="O5">
        <v>52402296.005999997</v>
      </c>
      <c r="P5">
        <v>3814569.6630000002</v>
      </c>
      <c r="Q5" s="5"/>
      <c r="R5">
        <v>7870077.1349999998</v>
      </c>
      <c r="S5">
        <v>1129727.4890000001</v>
      </c>
      <c r="T5" s="5"/>
      <c r="U5">
        <v>507657.43</v>
      </c>
      <c r="V5" s="5"/>
      <c r="W5">
        <v>607416.26</v>
      </c>
      <c r="Y5">
        <f t="shared" ref="Y5:Y6" si="15">SUM(F5,G5,I5,K5,M5,O5,P5,R5,S5,U5,W5)</f>
        <v>2523141592.6210003</v>
      </c>
      <c r="AB5">
        <f t="shared" si="9"/>
        <v>0.20740544590103255</v>
      </c>
      <c r="AC5">
        <f t="shared" si="10"/>
        <v>0.55051235140161392</v>
      </c>
      <c r="AD5">
        <f t="shared" ref="AD5:AD84" si="16">(K5+U5)/Y5</f>
        <v>0.20754828837806755</v>
      </c>
      <c r="AE5">
        <f t="shared" si="11"/>
        <v>8.4457681979962281E-3</v>
      </c>
      <c r="AF5">
        <f>SUM(O5:P5)/Y5</f>
        <v>2.2280503731303795E-2</v>
      </c>
      <c r="AG5">
        <f t="shared" si="13"/>
        <v>0.233252853943343</v>
      </c>
      <c r="AJ5">
        <f t="shared" ref="AJ5:AJ27" si="17">W5/Y5</f>
        <v>2.4073807897916083E-4</v>
      </c>
      <c r="AN5">
        <f t="shared" si="0"/>
        <v>0.65</v>
      </c>
      <c r="AO5">
        <f t="shared" si="1"/>
        <v>0.233252853943343</v>
      </c>
      <c r="AP5">
        <f t="shared" si="2"/>
        <v>0</v>
      </c>
      <c r="AQ5">
        <f t="shared" si="3"/>
        <v>0.55051235140161392</v>
      </c>
      <c r="AR5">
        <f t="shared" si="4"/>
        <v>0</v>
      </c>
      <c r="AS5">
        <f t="shared" si="5"/>
        <v>0.20754828837806755</v>
      </c>
      <c r="AT5">
        <f t="shared" si="6"/>
        <v>0</v>
      </c>
      <c r="AU5">
        <f t="shared" si="7"/>
        <v>8.4457681979962281E-3</v>
      </c>
      <c r="AV5" t="e">
        <f t="shared" si="8"/>
        <v>#DIV/0!</v>
      </c>
      <c r="BC5">
        <v>2</v>
      </c>
      <c r="BD5">
        <v>607.30020000000002</v>
      </c>
    </row>
    <row r="6" spans="1:56" x14ac:dyDescent="0.2">
      <c r="A6" t="s">
        <v>133</v>
      </c>
      <c r="B6">
        <v>1</v>
      </c>
      <c r="C6">
        <v>22</v>
      </c>
      <c r="D6">
        <v>0</v>
      </c>
      <c r="E6">
        <f t="shared" si="14"/>
        <v>1.25</v>
      </c>
      <c r="F6">
        <v>309317986.47600001</v>
      </c>
      <c r="G6">
        <v>31779669.524999999</v>
      </c>
      <c r="H6" s="5"/>
      <c r="I6">
        <v>1176338415.8469999</v>
      </c>
      <c r="J6" s="5"/>
      <c r="K6">
        <v>971829391.00399995</v>
      </c>
      <c r="L6" s="5"/>
      <c r="M6">
        <v>5228428.7510000002</v>
      </c>
      <c r="N6" s="5"/>
      <c r="O6">
        <v>25013041.293000001</v>
      </c>
      <c r="P6">
        <v>2027102.682</v>
      </c>
      <c r="Q6" s="5"/>
      <c r="R6">
        <v>9463506.9949999992</v>
      </c>
      <c r="S6">
        <v>1867484.108</v>
      </c>
      <c r="T6" s="5"/>
      <c r="U6">
        <v>1200298.625</v>
      </c>
      <c r="V6" s="5"/>
      <c r="W6">
        <v>1356787.922</v>
      </c>
      <c r="Y6">
        <f t="shared" si="15"/>
        <v>2535422113.2279997</v>
      </c>
      <c r="AB6">
        <f t="shared" si="9"/>
        <v>0.13453288674158004</v>
      </c>
      <c r="AC6">
        <f t="shared" si="10"/>
        <v>0.46396156667945604</v>
      </c>
      <c r="AD6">
        <f t="shared" si="16"/>
        <v>0.38377423804597838</v>
      </c>
      <c r="AE6">
        <f t="shared" si="11"/>
        <v>2.0621531711512014E-3</v>
      </c>
      <c r="AF6">
        <f t="shared" si="12"/>
        <v>1.0664947597452935E-2</v>
      </c>
      <c r="AG6">
        <f t="shared" si="13"/>
        <v>0.1496669091506326</v>
      </c>
      <c r="AJ6">
        <f t="shared" si="17"/>
        <v>5.3513295278181158E-4</v>
      </c>
      <c r="AN6">
        <f t="shared" si="0"/>
        <v>1.25</v>
      </c>
      <c r="AO6">
        <f t="shared" si="1"/>
        <v>0.1496669091506326</v>
      </c>
      <c r="AP6">
        <f t="shared" si="2"/>
        <v>0</v>
      </c>
      <c r="AQ6">
        <f t="shared" si="3"/>
        <v>0.46396156667945604</v>
      </c>
      <c r="AR6">
        <f t="shared" si="4"/>
        <v>0</v>
      </c>
      <c r="AS6">
        <f t="shared" si="5"/>
        <v>0.38377423804597838</v>
      </c>
      <c r="AT6">
        <f t="shared" si="6"/>
        <v>0</v>
      </c>
      <c r="AU6">
        <f t="shared" si="7"/>
        <v>2.0621531711512014E-3</v>
      </c>
      <c r="AV6" t="e">
        <f t="shared" si="8"/>
        <v>#DIV/0!</v>
      </c>
      <c r="BC6">
        <v>2</v>
      </c>
      <c r="BD6">
        <v>643.29240000000004</v>
      </c>
    </row>
    <row r="7" spans="1:56" x14ac:dyDescent="0.2">
      <c r="A7" t="s">
        <v>134</v>
      </c>
      <c r="B7">
        <v>1</v>
      </c>
      <c r="C7">
        <v>22</v>
      </c>
      <c r="D7">
        <v>36</v>
      </c>
      <c r="E7">
        <f t="shared" si="14"/>
        <v>1.85</v>
      </c>
      <c r="F7">
        <v>277058181</v>
      </c>
      <c r="G7">
        <v>29042753.449999999</v>
      </c>
      <c r="H7" s="5"/>
      <c r="I7">
        <v>899329156.92900002</v>
      </c>
      <c r="J7" s="5"/>
      <c r="K7">
        <v>1280273140.0009999</v>
      </c>
      <c r="L7" s="5"/>
      <c r="M7">
        <v>970365.38</v>
      </c>
      <c r="N7" s="5"/>
      <c r="O7">
        <v>20493142.596999999</v>
      </c>
      <c r="P7">
        <v>1603430.0419999999</v>
      </c>
      <c r="Q7" s="5"/>
      <c r="R7">
        <v>10100060.908</v>
      </c>
      <c r="S7">
        <v>1563402.87</v>
      </c>
      <c r="T7" s="5"/>
      <c r="U7">
        <v>1631854.372</v>
      </c>
      <c r="V7" s="5"/>
      <c r="W7">
        <v>1850683.375</v>
      </c>
      <c r="Y7">
        <f t="shared" ref="Y7" si="18">SUM(F7,G7,I7,K7,M7,O7,P7,R7,S7,U7,W7)</f>
        <v>2523916170.9240003</v>
      </c>
      <c r="AB7">
        <f t="shared" si="9"/>
        <v>0.12128015105110923</v>
      </c>
      <c r="AC7">
        <f t="shared" si="10"/>
        <v>0.35632291091496815</v>
      </c>
      <c r="AD7">
        <f t="shared" si="16"/>
        <v>0.50790315825097199</v>
      </c>
      <c r="AE7">
        <f t="shared" si="11"/>
        <v>3.8446814960765965E-4</v>
      </c>
      <c r="AF7">
        <f t="shared" si="12"/>
        <v>8.7548758130546345E-3</v>
      </c>
      <c r="AG7">
        <f t="shared" si="13"/>
        <v>0.13465620403017492</v>
      </c>
      <c r="AJ7">
        <f t="shared" si="17"/>
        <v>7.3325865427712237E-4</v>
      </c>
      <c r="AN7">
        <f t="shared" si="0"/>
        <v>1.85</v>
      </c>
      <c r="AO7">
        <f t="shared" si="1"/>
        <v>0.13465620403017492</v>
      </c>
      <c r="AP7">
        <f t="shared" si="2"/>
        <v>0</v>
      </c>
      <c r="AQ7">
        <f t="shared" si="3"/>
        <v>0.35632291091496815</v>
      </c>
      <c r="AR7">
        <f t="shared" si="4"/>
        <v>0</v>
      </c>
      <c r="AS7">
        <f t="shared" si="5"/>
        <v>0.50790315825097199</v>
      </c>
      <c r="AT7">
        <f t="shared" si="6"/>
        <v>0</v>
      </c>
      <c r="AU7">
        <f t="shared" si="7"/>
        <v>3.8446814960765965E-4</v>
      </c>
      <c r="AV7" t="e">
        <f t="shared" si="8"/>
        <v>#DIV/0!</v>
      </c>
      <c r="BC7">
        <v>2</v>
      </c>
      <c r="BD7">
        <v>677.30579999999998</v>
      </c>
    </row>
    <row r="8" spans="1:56" x14ac:dyDescent="0.2">
      <c r="A8" t="s">
        <v>135</v>
      </c>
      <c r="B8">
        <v>1</v>
      </c>
      <c r="C8">
        <v>23</v>
      </c>
      <c r="D8">
        <v>12</v>
      </c>
      <c r="E8">
        <f>(B8-$B$3)*24+(C8-$C$3)+(D8-$D$3)/60</f>
        <v>2.4500000000000002</v>
      </c>
      <c r="F8">
        <v>283211130.99900001</v>
      </c>
      <c r="G8">
        <v>27338358.953000002</v>
      </c>
      <c r="H8" s="5"/>
      <c r="I8">
        <v>696736402.30900002</v>
      </c>
      <c r="J8" s="5"/>
      <c r="K8">
        <v>1500987434.105</v>
      </c>
      <c r="L8" s="5"/>
      <c r="M8" s="5"/>
      <c r="N8" s="5"/>
      <c r="O8">
        <v>20218346.681000002</v>
      </c>
      <c r="P8">
        <v>1471734.723</v>
      </c>
      <c r="Q8" s="5"/>
      <c r="R8">
        <v>11895088.221000001</v>
      </c>
      <c r="S8">
        <v>1645481.3910000001</v>
      </c>
      <c r="T8" s="5"/>
      <c r="U8">
        <v>2231484.577</v>
      </c>
      <c r="V8" s="5"/>
      <c r="W8">
        <v>2529202.44</v>
      </c>
      <c r="Y8">
        <f>SUM(F8,G8,I8,K8,M8,O8,P8,R8,S8,U8,W8)</f>
        <v>2548264664.3990006</v>
      </c>
      <c r="AB8">
        <f t="shared" si="9"/>
        <v>0.12186704712841985</v>
      </c>
      <c r="AC8">
        <f t="shared" si="10"/>
        <v>0.27341602779447671</v>
      </c>
      <c r="AD8">
        <f t="shared" si="16"/>
        <v>0.58989905549568533</v>
      </c>
      <c r="AE8">
        <f t="shared" si="11"/>
        <v>0</v>
      </c>
      <c r="AF8">
        <f t="shared" si="12"/>
        <v>8.5117066947657631E-3</v>
      </c>
      <c r="AG8">
        <f t="shared" si="13"/>
        <v>0.13569239718259449</v>
      </c>
      <c r="AJ8">
        <f t="shared" si="17"/>
        <v>9.9251952724325977E-4</v>
      </c>
      <c r="AN8">
        <f t="shared" si="0"/>
        <v>2.4500000000000002</v>
      </c>
      <c r="AO8">
        <f t="shared" si="1"/>
        <v>0.13569239718259449</v>
      </c>
      <c r="AP8">
        <f t="shared" si="2"/>
        <v>0</v>
      </c>
      <c r="AQ8">
        <f t="shared" si="3"/>
        <v>0.27341602779447671</v>
      </c>
      <c r="AR8">
        <f t="shared" si="4"/>
        <v>0</v>
      </c>
      <c r="AS8">
        <f t="shared" si="5"/>
        <v>0.58989905549568533</v>
      </c>
      <c r="AT8">
        <f t="shared" si="6"/>
        <v>0</v>
      </c>
      <c r="AU8">
        <f t="shared" si="7"/>
        <v>0</v>
      </c>
      <c r="AV8" t="e">
        <f t="shared" si="8"/>
        <v>#DIV/0!</v>
      </c>
      <c r="BC8">
        <v>2</v>
      </c>
      <c r="BD8">
        <v>692.31110000000001</v>
      </c>
    </row>
    <row r="9" spans="1:56" x14ac:dyDescent="0.2">
      <c r="A9" t="s">
        <v>136</v>
      </c>
      <c r="B9">
        <v>1</v>
      </c>
      <c r="C9">
        <v>23</v>
      </c>
      <c r="D9">
        <v>48</v>
      </c>
      <c r="E9">
        <f t="shared" si="14"/>
        <v>3.05</v>
      </c>
      <c r="F9">
        <v>294462886.52399999</v>
      </c>
      <c r="G9">
        <v>28580567.028000001</v>
      </c>
      <c r="H9" s="5"/>
      <c r="I9">
        <v>524168403.70300001</v>
      </c>
      <c r="J9" s="5"/>
      <c r="K9">
        <v>1594250669.4100001</v>
      </c>
      <c r="L9" s="5"/>
      <c r="M9" s="5"/>
      <c r="N9" s="5"/>
      <c r="O9">
        <v>21290189.254000001</v>
      </c>
      <c r="P9">
        <v>1666818.63</v>
      </c>
      <c r="Q9" s="5"/>
      <c r="R9">
        <v>12388814.58</v>
      </c>
      <c r="S9">
        <v>2175651.1609999998</v>
      </c>
      <c r="T9" s="5"/>
      <c r="U9">
        <v>2432153.202</v>
      </c>
      <c r="V9" s="5"/>
      <c r="W9">
        <v>2781639.3059999999</v>
      </c>
      <c r="Y9">
        <f t="shared" ref="Y9:Y27" si="19">SUM(F9,G9,I9,K9,M9,O9,P9,R9,S9,U9,W9)</f>
        <v>2484197792.7980003</v>
      </c>
      <c r="AB9">
        <f t="shared" ref="AB9:AB21" si="20">(F9+G9)/Y9</f>
        <v>0.130039344889744</v>
      </c>
      <c r="AC9">
        <f t="shared" ref="AC9:AC21" si="21">I9/Y9</f>
        <v>0.21100107456122441</v>
      </c>
      <c r="AD9">
        <f t="shared" ref="AD9:AD21" si="22">(K9+U9)/Y9</f>
        <v>0.64273578667567566</v>
      </c>
      <c r="AE9">
        <f t="shared" ref="AE9:AE21" si="23">M9/Y9</f>
        <v>0</v>
      </c>
      <c r="AF9">
        <f t="shared" ref="AF9:AF21" si="24">SUM(O9:P9)/Y9</f>
        <v>9.2412157963247671E-3</v>
      </c>
      <c r="AG9">
        <f t="shared" ref="AG9:AG21" si="25">AB9+AF9+SUM(R9:S9)/Y9</f>
        <v>0.14514340533685469</v>
      </c>
      <c r="AJ9">
        <f t="shared" si="17"/>
        <v>1.1197334262450114E-3</v>
      </c>
    </row>
    <row r="10" spans="1:56" x14ac:dyDescent="0.2">
      <c r="A10" t="s">
        <v>137</v>
      </c>
      <c r="B10">
        <v>2</v>
      </c>
      <c r="C10">
        <v>0</v>
      </c>
      <c r="D10">
        <v>25</v>
      </c>
      <c r="E10">
        <f t="shared" si="14"/>
        <v>3.6666666666666665</v>
      </c>
      <c r="F10">
        <v>315944631.98500001</v>
      </c>
      <c r="G10">
        <v>31325721.614999998</v>
      </c>
      <c r="H10" s="5"/>
      <c r="I10">
        <v>410655310.55000001</v>
      </c>
      <c r="J10" s="5"/>
      <c r="K10">
        <v>1634210947.5350001</v>
      </c>
      <c r="L10" s="5"/>
      <c r="M10" s="5"/>
      <c r="N10" s="5"/>
      <c r="O10">
        <v>23079944.046999998</v>
      </c>
      <c r="P10">
        <v>1836776.429</v>
      </c>
      <c r="Q10" s="5"/>
      <c r="R10">
        <v>14707212.77</v>
      </c>
      <c r="S10">
        <v>1782059.865</v>
      </c>
      <c r="T10" s="5"/>
      <c r="U10">
        <v>3075156.8050000002</v>
      </c>
      <c r="V10" s="5"/>
      <c r="W10">
        <v>3414277.01</v>
      </c>
      <c r="Y10">
        <f t="shared" si="19"/>
        <v>2440032038.6110001</v>
      </c>
      <c r="AB10">
        <f t="shared" si="20"/>
        <v>0.14232204663906189</v>
      </c>
      <c r="AC10">
        <f t="shared" si="21"/>
        <v>0.16829914691766404</v>
      </c>
      <c r="AD10">
        <f t="shared" si="22"/>
        <v>0.67101008447087163</v>
      </c>
      <c r="AE10">
        <f t="shared" si="23"/>
        <v>0</v>
      </c>
      <c r="AF10">
        <f t="shared" si="24"/>
        <v>1.0211636602191487E-2</v>
      </c>
      <c r="AG10">
        <f t="shared" si="25"/>
        <v>0.15929149312820332</v>
      </c>
      <c r="AJ10">
        <f t="shared" si="17"/>
        <v>1.3992754832611106E-3</v>
      </c>
    </row>
    <row r="11" spans="1:56" x14ac:dyDescent="0.2">
      <c r="A11" t="s">
        <v>138</v>
      </c>
      <c r="B11">
        <v>2</v>
      </c>
      <c r="C11">
        <v>1</v>
      </c>
      <c r="D11">
        <v>1</v>
      </c>
      <c r="E11">
        <f t="shared" si="14"/>
        <v>4.2666666666666666</v>
      </c>
      <c r="F11">
        <v>334449189.05400002</v>
      </c>
      <c r="G11">
        <v>33813251.623999998</v>
      </c>
      <c r="H11" s="5"/>
      <c r="I11">
        <v>345605330.45200002</v>
      </c>
      <c r="J11" s="5"/>
      <c r="K11">
        <v>1695366965.3540001</v>
      </c>
      <c r="L11" s="5"/>
      <c r="M11" s="5"/>
      <c r="N11" s="5"/>
      <c r="O11">
        <v>26392696.568</v>
      </c>
      <c r="P11">
        <v>1979367.2679999999</v>
      </c>
      <c r="Q11" s="5"/>
      <c r="R11">
        <v>16117733.960000001</v>
      </c>
      <c r="S11">
        <v>2154949.5729999999</v>
      </c>
      <c r="T11" s="5"/>
      <c r="U11">
        <v>3894833.4649999999</v>
      </c>
      <c r="V11" s="5"/>
      <c r="W11">
        <v>3851648.29</v>
      </c>
      <c r="Y11">
        <f t="shared" si="19"/>
        <v>2463625965.6080003</v>
      </c>
      <c r="AB11">
        <f t="shared" si="20"/>
        <v>0.14947985035833808</v>
      </c>
      <c r="AC11">
        <f t="shared" si="21"/>
        <v>0.14028319853606827</v>
      </c>
      <c r="AD11">
        <f t="shared" si="22"/>
        <v>0.6897401726319432</v>
      </c>
      <c r="AE11">
        <f t="shared" si="23"/>
        <v>0</v>
      </c>
      <c r="AF11">
        <f t="shared" si="24"/>
        <v>1.1516384480465578E-2</v>
      </c>
      <c r="AG11">
        <f t="shared" si="25"/>
        <v>0.16841322255856511</v>
      </c>
      <c r="AJ11">
        <f t="shared" si="17"/>
        <v>1.5634062734232665E-3</v>
      </c>
    </row>
    <row r="12" spans="1:56" x14ac:dyDescent="0.2">
      <c r="A12" t="s">
        <v>139</v>
      </c>
      <c r="B12">
        <v>2</v>
      </c>
      <c r="C12">
        <v>1</v>
      </c>
      <c r="D12">
        <v>37</v>
      </c>
      <c r="E12">
        <f>(B12-$B$3)*24+(C12-$C$3)+(D12-$D$3)/60</f>
        <v>4.8666666666666663</v>
      </c>
      <c r="F12">
        <v>373806438.78799999</v>
      </c>
      <c r="G12">
        <v>37570898.200000003</v>
      </c>
      <c r="H12" s="5"/>
      <c r="I12">
        <v>301638076.85900003</v>
      </c>
      <c r="J12" s="5"/>
      <c r="K12">
        <v>1766422581.3399999</v>
      </c>
      <c r="L12" s="5"/>
      <c r="M12" s="5"/>
      <c r="N12" s="5"/>
      <c r="O12">
        <v>29507640.109999999</v>
      </c>
      <c r="P12">
        <v>2824365.6570000001</v>
      </c>
      <c r="Q12" s="5"/>
      <c r="R12">
        <v>19431830.629999999</v>
      </c>
      <c r="S12">
        <v>2099300.3089999999</v>
      </c>
      <c r="T12" s="5"/>
      <c r="U12">
        <v>5787029.9680000003</v>
      </c>
      <c r="V12" s="5"/>
      <c r="W12">
        <v>4304699.8849999998</v>
      </c>
      <c r="Y12">
        <f t="shared" si="19"/>
        <v>2543392861.7460003</v>
      </c>
      <c r="AB12">
        <f t="shared" si="20"/>
        <v>0.16174352895902827</v>
      </c>
      <c r="AC12">
        <f t="shared" si="21"/>
        <v>0.1185967301378404</v>
      </c>
      <c r="AD12">
        <f t="shared" si="22"/>
        <v>0.69678956718129859</v>
      </c>
      <c r="AE12">
        <f t="shared" si="23"/>
        <v>0</v>
      </c>
      <c r="AF12">
        <f t="shared" si="24"/>
        <v>1.2712155582918706E-2</v>
      </c>
      <c r="AG12">
        <f t="shared" si="25"/>
        <v>0.18292119974521731</v>
      </c>
      <c r="AJ12">
        <f t="shared" si="17"/>
        <v>1.6925029356435674E-3</v>
      </c>
    </row>
    <row r="13" spans="1:56" x14ac:dyDescent="0.2">
      <c r="A13" t="s">
        <v>140</v>
      </c>
      <c r="B13">
        <v>2</v>
      </c>
      <c r="C13">
        <v>2</v>
      </c>
      <c r="D13">
        <v>13</v>
      </c>
      <c r="E13">
        <f>(B13-$B$3)*24+(C13-$C$3)+(D13-$D$3)/60</f>
        <v>5.4666666666666668</v>
      </c>
      <c r="F13">
        <v>401230632.88999999</v>
      </c>
      <c r="G13">
        <v>39181090.189999998</v>
      </c>
      <c r="H13" s="5"/>
      <c r="I13">
        <v>251834597.248</v>
      </c>
      <c r="J13" s="5"/>
      <c r="K13">
        <v>1676262920.434</v>
      </c>
      <c r="L13" s="5"/>
      <c r="M13" s="5"/>
      <c r="N13" s="5"/>
      <c r="O13">
        <v>31357694.456</v>
      </c>
      <c r="P13">
        <v>2685530.3539999998</v>
      </c>
      <c r="Q13" s="5"/>
      <c r="R13">
        <v>22349805.511999998</v>
      </c>
      <c r="S13">
        <v>2173736.023</v>
      </c>
      <c r="T13" s="5"/>
      <c r="U13">
        <v>7547948.8320000004</v>
      </c>
      <c r="V13" s="5"/>
      <c r="W13">
        <v>3995944.0980000002</v>
      </c>
      <c r="Y13">
        <f t="shared" si="19"/>
        <v>2438619900.0369997</v>
      </c>
      <c r="AB13">
        <f t="shared" si="20"/>
        <v>0.18059875713854295</v>
      </c>
      <c r="AC13">
        <f t="shared" si="21"/>
        <v>0.10326931115594483</v>
      </c>
      <c r="AD13">
        <f t="shared" si="22"/>
        <v>0.69047696577906736</v>
      </c>
      <c r="AE13">
        <f t="shared" si="23"/>
        <v>0</v>
      </c>
      <c r="AF13">
        <f t="shared" si="24"/>
        <v>1.3960037318437157E-2</v>
      </c>
      <c r="AG13">
        <f t="shared" si="25"/>
        <v>0.20461511423630607</v>
      </c>
      <c r="AJ13">
        <f t="shared" si="17"/>
        <v>1.6386088286819E-3</v>
      </c>
    </row>
    <row r="14" spans="1:56" x14ac:dyDescent="0.2">
      <c r="A14" t="s">
        <v>141</v>
      </c>
      <c r="B14">
        <v>2</v>
      </c>
      <c r="C14">
        <v>2</v>
      </c>
      <c r="D14">
        <v>49</v>
      </c>
      <c r="E14">
        <f>(B14-$B$3)*24+(C14-$C$3)+(D14-$D$3)/60</f>
        <v>6.0666666666666664</v>
      </c>
      <c r="F14">
        <v>430715529.77600002</v>
      </c>
      <c r="G14">
        <v>43881338.443999998</v>
      </c>
      <c r="H14" s="5"/>
      <c r="I14">
        <v>215922352.37099999</v>
      </c>
      <c r="J14" s="5"/>
      <c r="K14">
        <v>1686665725.7249999</v>
      </c>
      <c r="L14" s="5"/>
      <c r="M14" s="5"/>
      <c r="N14" s="5"/>
      <c r="O14">
        <v>35724898.763999999</v>
      </c>
      <c r="P14">
        <v>3189175.7489999998</v>
      </c>
      <c r="Q14" s="5"/>
      <c r="R14">
        <v>24926060.699999999</v>
      </c>
      <c r="S14">
        <v>2139011.6069999998</v>
      </c>
      <c r="T14" s="5"/>
      <c r="U14">
        <v>9167031.3300000001</v>
      </c>
      <c r="V14" s="5"/>
      <c r="W14">
        <v>4804288.1210000003</v>
      </c>
      <c r="Y14">
        <f t="shared" si="19"/>
        <v>2457135412.5869994</v>
      </c>
      <c r="AB14">
        <f t="shared" si="20"/>
        <v>0.19315047342886157</v>
      </c>
      <c r="AC14">
        <f t="shared" si="21"/>
        <v>8.787564220714468E-2</v>
      </c>
      <c r="AD14">
        <f t="shared" si="22"/>
        <v>0.69016658519016638</v>
      </c>
      <c r="AE14">
        <f t="shared" si="23"/>
        <v>0</v>
      </c>
      <c r="AF14">
        <f t="shared" si="24"/>
        <v>1.5837171331159663E-2</v>
      </c>
      <c r="AG14">
        <f t="shared" si="25"/>
        <v>0.22000253314116441</v>
      </c>
      <c r="AJ14">
        <f t="shared" si="17"/>
        <v>1.9552394615247504E-3</v>
      </c>
    </row>
    <row r="15" spans="1:56" x14ac:dyDescent="0.2">
      <c r="A15" t="s">
        <v>142</v>
      </c>
      <c r="B15">
        <v>2</v>
      </c>
      <c r="C15">
        <v>3</v>
      </c>
      <c r="D15">
        <v>26</v>
      </c>
      <c r="E15">
        <f t="shared" ref="E15:E25" si="26">(B15-$B$3)*24+(C15-$C$3)+(D15-$D$3)/60</f>
        <v>6.6833333333333336</v>
      </c>
      <c r="F15">
        <v>454249099.31999999</v>
      </c>
      <c r="G15">
        <v>45968703.248999998</v>
      </c>
      <c r="H15" s="5"/>
      <c r="I15">
        <v>197548436.94499999</v>
      </c>
      <c r="J15" s="5"/>
      <c r="K15">
        <v>1680440485.1359999</v>
      </c>
      <c r="L15" s="5"/>
      <c r="M15" s="5"/>
      <c r="N15" s="5"/>
      <c r="O15">
        <v>39495923.614</v>
      </c>
      <c r="P15">
        <v>3370539.5109999999</v>
      </c>
      <c r="Q15" s="5"/>
      <c r="R15">
        <v>29883889.443999998</v>
      </c>
      <c r="S15">
        <v>2599520.4589999998</v>
      </c>
      <c r="T15" s="5"/>
      <c r="U15">
        <v>11257184.311000001</v>
      </c>
      <c r="V15" s="5"/>
      <c r="W15">
        <v>4982918.5159999998</v>
      </c>
      <c r="Y15">
        <f t="shared" si="19"/>
        <v>2469796700.5049992</v>
      </c>
      <c r="AB15">
        <f t="shared" si="20"/>
        <v>0.20253399903996977</v>
      </c>
      <c r="AC15">
        <f t="shared" si="21"/>
        <v>7.9985707691895155E-2</v>
      </c>
      <c r="AD15">
        <f t="shared" si="22"/>
        <v>0.68495421874241658</v>
      </c>
      <c r="AE15">
        <f t="shared" si="23"/>
        <v>0</v>
      </c>
      <c r="AF15">
        <f t="shared" si="24"/>
        <v>1.7356271921585731E-2</v>
      </c>
      <c r="AG15">
        <f t="shared" si="25"/>
        <v>0.23304253158946797</v>
      </c>
      <c r="AJ15">
        <f t="shared" si="17"/>
        <v>2.0175419762206107E-3</v>
      </c>
    </row>
    <row r="16" spans="1:56" x14ac:dyDescent="0.2">
      <c r="A16" t="s">
        <v>143</v>
      </c>
      <c r="B16">
        <v>2</v>
      </c>
      <c r="C16">
        <v>4</v>
      </c>
      <c r="D16">
        <v>2</v>
      </c>
      <c r="E16">
        <f t="shared" si="26"/>
        <v>7.2833333333333332</v>
      </c>
      <c r="F16">
        <v>501845578.03299999</v>
      </c>
      <c r="G16">
        <v>49950714.770000003</v>
      </c>
      <c r="H16" s="5"/>
      <c r="I16">
        <v>180545038.46799999</v>
      </c>
      <c r="J16" s="5"/>
      <c r="K16">
        <v>1662093067.27</v>
      </c>
      <c r="L16" s="5"/>
      <c r="M16" s="5"/>
      <c r="N16" s="5"/>
      <c r="O16">
        <v>46399957.887000002</v>
      </c>
      <c r="P16">
        <v>3997375.5630000001</v>
      </c>
      <c r="Q16" s="5"/>
      <c r="R16">
        <v>33911991.237000003</v>
      </c>
      <c r="S16">
        <v>2454503.5380000002</v>
      </c>
      <c r="T16" s="5"/>
      <c r="U16">
        <v>13741108.347999999</v>
      </c>
      <c r="V16" s="5"/>
      <c r="W16">
        <v>5101978.5650000004</v>
      </c>
      <c r="Y16">
        <f t="shared" si="19"/>
        <v>2500041313.6790004</v>
      </c>
      <c r="AB16">
        <f t="shared" si="20"/>
        <v>0.22071486970388896</v>
      </c>
      <c r="AC16">
        <f t="shared" si="21"/>
        <v>7.2216821970159481E-2</v>
      </c>
      <c r="AD16">
        <f t="shared" si="22"/>
        <v>0.67032259285022888</v>
      </c>
      <c r="AE16">
        <f t="shared" si="23"/>
        <v>0</v>
      </c>
      <c r="AF16">
        <f t="shared" si="24"/>
        <v>2.0158600249624077E-2</v>
      </c>
      <c r="AG16">
        <f t="shared" si="25"/>
        <v>0.25541982747809489</v>
      </c>
      <c r="AJ16">
        <f t="shared" si="17"/>
        <v>2.0407577015165608E-3</v>
      </c>
    </row>
    <row r="17" spans="1:56" x14ac:dyDescent="0.2">
      <c r="A17" t="s">
        <v>144</v>
      </c>
      <c r="B17">
        <v>2</v>
      </c>
      <c r="C17">
        <v>4</v>
      </c>
      <c r="D17">
        <v>38</v>
      </c>
      <c r="E17">
        <f>(B17-$B$3)*24+(C17-$C$3)+(D17-$D$3)/60</f>
        <v>7.8833333333333337</v>
      </c>
      <c r="F17">
        <v>527401634.72799999</v>
      </c>
      <c r="G17">
        <v>51604784.784999996</v>
      </c>
      <c r="H17" s="5"/>
      <c r="I17">
        <v>160307607.873</v>
      </c>
      <c r="J17" s="5"/>
      <c r="K17">
        <v>1568642915.1140001</v>
      </c>
      <c r="L17" s="5"/>
      <c r="M17" s="5"/>
      <c r="N17" s="5"/>
      <c r="O17">
        <v>46317144.100000001</v>
      </c>
      <c r="P17">
        <v>4069606.2209999999</v>
      </c>
      <c r="Q17" s="5"/>
      <c r="R17">
        <v>36493086.611000001</v>
      </c>
      <c r="S17">
        <v>2699496.8569999998</v>
      </c>
      <c r="T17" s="5"/>
      <c r="U17">
        <v>16947257.951000001</v>
      </c>
      <c r="V17" s="5"/>
      <c r="W17">
        <v>4996912.8229999999</v>
      </c>
      <c r="Y17">
        <f t="shared" si="19"/>
        <v>2419480447.0630002</v>
      </c>
      <c r="AB17">
        <f t="shared" si="20"/>
        <v>0.23931022886167735</v>
      </c>
      <c r="AC17">
        <f t="shared" si="21"/>
        <v>6.6257037980032824E-2</v>
      </c>
      <c r="AD17">
        <f t="shared" si="22"/>
        <v>0.65534324734458715</v>
      </c>
      <c r="AE17">
        <f t="shared" si="23"/>
        <v>0</v>
      </c>
      <c r="AF17">
        <f t="shared" si="24"/>
        <v>2.0825442248216686E-2</v>
      </c>
      <c r="AG17">
        <f t="shared" si="25"/>
        <v>0.27633443126750384</v>
      </c>
      <c r="AJ17">
        <f t="shared" si="17"/>
        <v>2.0652834078761567E-3</v>
      </c>
    </row>
    <row r="18" spans="1:56" x14ac:dyDescent="0.2">
      <c r="A18" t="s">
        <v>145</v>
      </c>
      <c r="B18">
        <v>2</v>
      </c>
      <c r="C18">
        <v>5</v>
      </c>
      <c r="D18">
        <v>14</v>
      </c>
      <c r="E18">
        <f t="shared" si="26"/>
        <v>8.4833333333333325</v>
      </c>
      <c r="F18">
        <v>559125421.70599997</v>
      </c>
      <c r="G18">
        <v>56845375.829000004</v>
      </c>
      <c r="H18" s="5"/>
      <c r="I18">
        <v>150818123.21599999</v>
      </c>
      <c r="J18" s="5"/>
      <c r="K18">
        <v>1593789770.6070001</v>
      </c>
      <c r="L18" s="5"/>
      <c r="M18" s="5"/>
      <c r="N18" s="5"/>
      <c r="O18">
        <v>52966648.174999997</v>
      </c>
      <c r="P18">
        <v>4237523.2390000001</v>
      </c>
      <c r="Q18" s="5"/>
      <c r="R18">
        <v>41837445.452</v>
      </c>
      <c r="S18">
        <v>2712781.4389999998</v>
      </c>
      <c r="T18" s="5"/>
      <c r="U18">
        <v>20776642.166000001</v>
      </c>
      <c r="V18" s="5"/>
      <c r="W18">
        <v>5915384.3480000002</v>
      </c>
      <c r="Y18">
        <f t="shared" si="19"/>
        <v>2489025116.177</v>
      </c>
      <c r="AB18">
        <f t="shared" si="20"/>
        <v>0.24747472154121763</v>
      </c>
      <c r="AC18">
        <f t="shared" si="21"/>
        <v>6.0593250841778565E-2</v>
      </c>
      <c r="AD18">
        <f t="shared" si="22"/>
        <v>0.64867421476762011</v>
      </c>
      <c r="AE18">
        <f t="shared" si="23"/>
        <v>0</v>
      </c>
      <c r="AF18">
        <f t="shared" si="24"/>
        <v>2.2982560940109083E-2</v>
      </c>
      <c r="AG18">
        <f t="shared" si="25"/>
        <v>0.28835594754559357</v>
      </c>
      <c r="AJ18">
        <f t="shared" si="17"/>
        <v>2.3765868450076918E-3</v>
      </c>
    </row>
    <row r="19" spans="1:56" x14ac:dyDescent="0.2">
      <c r="A19" t="s">
        <v>146</v>
      </c>
      <c r="B19">
        <v>2</v>
      </c>
      <c r="C19">
        <v>5</v>
      </c>
      <c r="D19">
        <v>50</v>
      </c>
      <c r="E19">
        <f t="shared" si="26"/>
        <v>9.0833333333333339</v>
      </c>
      <c r="F19">
        <v>611641445.08299994</v>
      </c>
      <c r="G19">
        <v>62258597.756999999</v>
      </c>
      <c r="H19" s="5"/>
      <c r="I19">
        <v>140650070.28400001</v>
      </c>
      <c r="J19" s="5"/>
      <c r="K19">
        <v>1607382449.575</v>
      </c>
      <c r="L19" s="5"/>
      <c r="M19" s="5"/>
      <c r="N19" s="5"/>
      <c r="O19">
        <v>58016454.759000003</v>
      </c>
      <c r="P19">
        <v>5208610.0939999996</v>
      </c>
      <c r="Q19" s="5"/>
      <c r="R19">
        <v>47912053.342</v>
      </c>
      <c r="S19">
        <v>2842086.7080000001</v>
      </c>
      <c r="T19" s="5"/>
      <c r="U19">
        <v>25120552.899999999</v>
      </c>
      <c r="V19" s="5"/>
      <c r="W19">
        <v>6114200.1749999998</v>
      </c>
      <c r="Y19">
        <f t="shared" si="19"/>
        <v>2567146520.677</v>
      </c>
      <c r="AB19">
        <f t="shared" si="20"/>
        <v>0.26250938051727607</v>
      </c>
      <c r="AC19">
        <f t="shared" si="21"/>
        <v>5.4788485640043717E-2</v>
      </c>
      <c r="AD19">
        <f t="shared" si="22"/>
        <v>0.63592124147416462</v>
      </c>
      <c r="AE19">
        <f t="shared" si="23"/>
        <v>0</v>
      </c>
      <c r="AF19">
        <f t="shared" si="24"/>
        <v>2.4628537694968217E-2</v>
      </c>
      <c r="AG19">
        <f t="shared" si="25"/>
        <v>0.30690856224880486</v>
      </c>
      <c r="AJ19">
        <f t="shared" si="17"/>
        <v>2.3817106369867745E-3</v>
      </c>
    </row>
    <row r="20" spans="1:56" x14ac:dyDescent="0.2">
      <c r="A20" t="s">
        <v>147</v>
      </c>
      <c r="B20">
        <v>2</v>
      </c>
      <c r="C20">
        <v>6</v>
      </c>
      <c r="D20">
        <v>27</v>
      </c>
      <c r="E20">
        <f t="shared" si="26"/>
        <v>9.6999999999999993</v>
      </c>
      <c r="F20">
        <v>650056993.53699994</v>
      </c>
      <c r="G20">
        <v>67263269.001000002</v>
      </c>
      <c r="H20" s="5"/>
      <c r="I20">
        <v>129494304.88500001</v>
      </c>
      <c r="J20" s="5"/>
      <c r="K20">
        <v>1556717014.105</v>
      </c>
      <c r="L20" s="5"/>
      <c r="M20" s="5"/>
      <c r="N20" s="5"/>
      <c r="O20">
        <v>61215334.206</v>
      </c>
      <c r="P20">
        <v>5856020.8310000002</v>
      </c>
      <c r="Q20" s="5"/>
      <c r="R20">
        <v>52680534.741999999</v>
      </c>
      <c r="S20">
        <v>1789917.885</v>
      </c>
      <c r="T20" s="5"/>
      <c r="U20">
        <v>27503314.620000001</v>
      </c>
      <c r="V20" s="5"/>
      <c r="W20">
        <v>6199333.7529999996</v>
      </c>
      <c r="Y20">
        <f t="shared" si="19"/>
        <v>2558776037.5649996</v>
      </c>
      <c r="AB20">
        <f t="shared" si="20"/>
        <v>0.28033725969257606</v>
      </c>
      <c r="AC20">
        <f t="shared" si="21"/>
        <v>5.0607909009586588E-2</v>
      </c>
      <c r="AD20">
        <f t="shared" si="22"/>
        <v>0.61913207934860404</v>
      </c>
      <c r="AE20">
        <f t="shared" si="23"/>
        <v>0</v>
      </c>
      <c r="AF20">
        <f t="shared" si="24"/>
        <v>2.621228042327101E-2</v>
      </c>
      <c r="AG20">
        <f t="shared" si="25"/>
        <v>0.32783723854170677</v>
      </c>
      <c r="AJ20">
        <f t="shared" si="17"/>
        <v>2.422773100102756E-3</v>
      </c>
    </row>
    <row r="21" spans="1:56" x14ac:dyDescent="0.2">
      <c r="A21" t="s">
        <v>148</v>
      </c>
      <c r="B21">
        <v>2</v>
      </c>
      <c r="C21">
        <v>7</v>
      </c>
      <c r="D21">
        <v>3</v>
      </c>
      <c r="E21">
        <f t="shared" si="26"/>
        <v>10.3</v>
      </c>
      <c r="F21">
        <v>704849193.14100003</v>
      </c>
      <c r="G21">
        <v>72460842.829999998</v>
      </c>
      <c r="H21" s="5"/>
      <c r="I21">
        <v>125643307.193</v>
      </c>
      <c r="J21" s="5"/>
      <c r="K21">
        <v>1567059229.411</v>
      </c>
      <c r="L21" s="5"/>
      <c r="M21" s="5"/>
      <c r="N21" s="5"/>
      <c r="O21">
        <v>69849711.166999996</v>
      </c>
      <c r="P21">
        <v>5792845.4230000004</v>
      </c>
      <c r="Q21" s="5"/>
      <c r="R21">
        <v>61003553.022</v>
      </c>
      <c r="S21">
        <v>3446679.8229999999</v>
      </c>
      <c r="T21" s="5"/>
      <c r="U21">
        <v>30984985.175999999</v>
      </c>
      <c r="V21" s="5"/>
      <c r="W21">
        <v>6387383.6169999996</v>
      </c>
      <c r="Y21">
        <f t="shared" si="19"/>
        <v>2647477730.8029995</v>
      </c>
      <c r="AB21">
        <f t="shared" si="20"/>
        <v>0.2936039940684359</v>
      </c>
      <c r="AC21">
        <f t="shared" si="21"/>
        <v>4.7457739013688119E-2</v>
      </c>
      <c r="AD21">
        <f t="shared" si="22"/>
        <v>0.6036100685546848</v>
      </c>
      <c r="AE21">
        <f t="shared" si="23"/>
        <v>0</v>
      </c>
      <c r="AF21">
        <f t="shared" si="24"/>
        <v>2.8571555375106805E-2</v>
      </c>
      <c r="AG21">
        <f t="shared" si="25"/>
        <v>0.34651956265095568</v>
      </c>
      <c r="AJ21">
        <f t="shared" si="17"/>
        <v>2.4126297806715295E-3</v>
      </c>
    </row>
    <row r="22" spans="1:56" x14ac:dyDescent="0.2">
      <c r="A22" t="s">
        <v>149</v>
      </c>
      <c r="B22">
        <v>2</v>
      </c>
      <c r="C22">
        <v>7</v>
      </c>
      <c r="D22">
        <v>39</v>
      </c>
      <c r="E22">
        <f t="shared" si="26"/>
        <v>10.9</v>
      </c>
      <c r="F22">
        <v>739214480.33000004</v>
      </c>
      <c r="G22">
        <v>77119225.327000007</v>
      </c>
      <c r="H22" s="5"/>
      <c r="I22">
        <v>108304131.513</v>
      </c>
      <c r="J22" s="5"/>
      <c r="K22">
        <v>1497921078.267</v>
      </c>
      <c r="L22" s="5"/>
      <c r="M22" s="5"/>
      <c r="N22" s="5"/>
      <c r="O22">
        <v>75232067.777999997</v>
      </c>
      <c r="P22">
        <v>6697714.9000000004</v>
      </c>
      <c r="Q22" s="5"/>
      <c r="R22">
        <v>67264386.040999994</v>
      </c>
      <c r="S22">
        <v>3639024.5249999999</v>
      </c>
      <c r="T22" s="5"/>
      <c r="U22">
        <v>36795510.961999997</v>
      </c>
      <c r="V22" s="5"/>
      <c r="W22">
        <v>5971699.2010000004</v>
      </c>
      <c r="Y22">
        <f t="shared" si="19"/>
        <v>2618159318.8440003</v>
      </c>
      <c r="AB22">
        <f t="shared" ref="AB22" si="27">(F22+G22)/Y22</f>
        <v>0.31179680311335561</v>
      </c>
      <c r="AC22">
        <f t="shared" ref="AC22" si="28">I22/Y22</f>
        <v>4.1366516824812509E-2</v>
      </c>
      <c r="AD22">
        <f t="shared" ref="AD22" si="29">(K22+U22)/Y22</f>
        <v>0.58618151240186001</v>
      </c>
      <c r="AE22">
        <f t="shared" ref="AE22" si="30">M22/Y22</f>
        <v>0</v>
      </c>
      <c r="AF22">
        <f t="shared" ref="AF22" si="31">SUM(O22:P22)/Y22</f>
        <v>3.1292894243798185E-2</v>
      </c>
      <c r="AG22">
        <f t="shared" ref="AG22" si="32">AB22+AF22+SUM(R22:S22)/Y22</f>
        <v>0.37017109383890268</v>
      </c>
      <c r="AJ22">
        <f t="shared" si="17"/>
        <v>2.280876934424561E-3</v>
      </c>
    </row>
    <row r="23" spans="1:56" x14ac:dyDescent="0.2">
      <c r="A23" t="s">
        <v>150</v>
      </c>
      <c r="B23">
        <v>2</v>
      </c>
      <c r="C23">
        <v>8</v>
      </c>
      <c r="D23">
        <v>15</v>
      </c>
      <c r="E23">
        <f t="shared" si="26"/>
        <v>11.5</v>
      </c>
      <c r="F23">
        <v>776194415.49399996</v>
      </c>
      <c r="G23">
        <v>81671600.446999997</v>
      </c>
      <c r="H23" s="5"/>
      <c r="I23">
        <v>102267341.40000001</v>
      </c>
      <c r="J23" s="5"/>
      <c r="K23">
        <v>1459858949.0150001</v>
      </c>
      <c r="L23" s="5"/>
      <c r="M23" s="5"/>
      <c r="N23" s="5"/>
      <c r="O23">
        <v>80418421.447999999</v>
      </c>
      <c r="P23">
        <v>6485763.108</v>
      </c>
      <c r="Q23" s="5"/>
      <c r="R23">
        <v>73350591.972000003</v>
      </c>
      <c r="S23">
        <v>3598158.01</v>
      </c>
      <c r="T23" s="5"/>
      <c r="U23">
        <v>41329408.675999999</v>
      </c>
      <c r="V23" s="5"/>
      <c r="W23">
        <v>6146985.5140000004</v>
      </c>
      <c r="Y23">
        <f t="shared" si="19"/>
        <v>2631321635.0840001</v>
      </c>
      <c r="AB23">
        <f t="shared" ref="AB23:AB25" si="33">(F23+G23)/Y23</f>
        <v>0.32602096395320146</v>
      </c>
      <c r="AC23">
        <f t="shared" ref="AC23:AC25" si="34">I23/Y23</f>
        <v>3.8865389938062551E-2</v>
      </c>
      <c r="AD23">
        <f t="shared" ref="AD23:AD25" si="35">(K23+U23)/Y23</f>
        <v>0.57050735937230923</v>
      </c>
      <c r="AE23">
        <f t="shared" ref="AE23:AE25" si="36">M23/Y23</f>
        <v>0</v>
      </c>
      <c r="AF23">
        <f t="shared" ref="AF23:AF25" si="37">SUM(O23:P23)/Y23</f>
        <v>3.3026819449696709E-2</v>
      </c>
      <c r="AG23">
        <f t="shared" ref="AG23:AG25" si="38">AB23+AF23+SUM(R23:S23)/Y23</f>
        <v>0.38829116777523226</v>
      </c>
    </row>
    <row r="24" spans="1:56" x14ac:dyDescent="0.2">
      <c r="A24" t="s">
        <v>151</v>
      </c>
      <c r="B24">
        <v>2</v>
      </c>
      <c r="C24">
        <v>8</v>
      </c>
      <c r="D24">
        <v>51</v>
      </c>
      <c r="E24">
        <f t="shared" si="26"/>
        <v>12.1</v>
      </c>
      <c r="F24">
        <v>805724731.24000001</v>
      </c>
      <c r="G24">
        <v>84185554.643999994</v>
      </c>
      <c r="H24" s="5"/>
      <c r="I24">
        <v>96655557.702999994</v>
      </c>
      <c r="J24" s="5"/>
      <c r="K24">
        <v>1411400589.3889999</v>
      </c>
      <c r="L24" s="5"/>
      <c r="M24" s="5"/>
      <c r="N24" s="5"/>
      <c r="O24">
        <v>81688514.630999997</v>
      </c>
      <c r="P24">
        <v>7381122.9440000001</v>
      </c>
      <c r="Q24" s="5"/>
      <c r="R24">
        <v>83159146.577999994</v>
      </c>
      <c r="S24">
        <v>4358149.83</v>
      </c>
      <c r="T24" s="5"/>
      <c r="U24">
        <v>44639097.689000003</v>
      </c>
      <c r="V24" s="5"/>
      <c r="W24">
        <v>6281583.9910000004</v>
      </c>
      <c r="Y24">
        <f t="shared" si="19"/>
        <v>2625474048.6389999</v>
      </c>
      <c r="AB24">
        <f t="shared" si="33"/>
        <v>0.33895223087248344</v>
      </c>
      <c r="AC24">
        <f t="shared" si="34"/>
        <v>3.6814516507258775E-2</v>
      </c>
      <c r="AD24">
        <f t="shared" si="35"/>
        <v>0.55458163367974844</v>
      </c>
      <c r="AE24">
        <f t="shared" si="36"/>
        <v>0</v>
      </c>
      <c r="AF24">
        <f t="shared" si="37"/>
        <v>3.3925163960836766E-2</v>
      </c>
      <c r="AG24">
        <f t="shared" si="38"/>
        <v>0.4062112975063889</v>
      </c>
    </row>
    <row r="25" spans="1:56" x14ac:dyDescent="0.2">
      <c r="A25" t="s">
        <v>152</v>
      </c>
      <c r="B25">
        <v>2</v>
      </c>
      <c r="C25">
        <v>12</v>
      </c>
      <c r="D25">
        <v>46</v>
      </c>
      <c r="E25">
        <f t="shared" si="26"/>
        <v>16.016666666666666</v>
      </c>
      <c r="F25">
        <v>905380933.47599995</v>
      </c>
      <c r="G25">
        <v>92378030.385000005</v>
      </c>
      <c r="H25" s="5"/>
      <c r="I25">
        <v>57915480.226000004</v>
      </c>
      <c r="J25" s="5"/>
      <c r="K25">
        <v>1087242256.74</v>
      </c>
      <c r="L25" s="5"/>
      <c r="M25" s="5"/>
      <c r="N25" s="5"/>
      <c r="O25">
        <v>102853845.949</v>
      </c>
      <c r="P25">
        <v>9024116.7369999997</v>
      </c>
      <c r="Q25" s="5"/>
      <c r="R25">
        <v>115596325.772</v>
      </c>
      <c r="S25">
        <v>4557615.2110000001</v>
      </c>
      <c r="T25" s="5"/>
      <c r="U25">
        <v>67259982.744000003</v>
      </c>
      <c r="V25" s="5"/>
      <c r="W25">
        <v>5734276.1189999999</v>
      </c>
      <c r="Y25">
        <f t="shared" si="19"/>
        <v>2447942863.3589997</v>
      </c>
      <c r="AB25">
        <f t="shared" si="33"/>
        <v>0.40759078930947867</v>
      </c>
      <c r="AC25">
        <f t="shared" si="34"/>
        <v>2.3658836606394472E-2</v>
      </c>
      <c r="AD25">
        <f t="shared" si="35"/>
        <v>0.47162139965138883</v>
      </c>
      <c r="AE25">
        <f t="shared" si="36"/>
        <v>0</v>
      </c>
      <c r="AF25">
        <f t="shared" si="37"/>
        <v>4.5702848853459002E-2</v>
      </c>
      <c r="AG25">
        <f t="shared" si="38"/>
        <v>0.50237727601309889</v>
      </c>
    </row>
    <row r="26" spans="1:56" x14ac:dyDescent="0.2">
      <c r="A26" t="s">
        <v>153</v>
      </c>
      <c r="B26">
        <v>2</v>
      </c>
      <c r="C26">
        <v>18</v>
      </c>
      <c r="D26">
        <v>48</v>
      </c>
      <c r="E26">
        <f>(B26-$B$3)*24+(C26-$C$3)+(D26-$D$3)/60</f>
        <v>22.05</v>
      </c>
      <c r="F26">
        <v>1198800046.474</v>
      </c>
      <c r="G26">
        <v>121638527.63699999</v>
      </c>
      <c r="H26" s="5"/>
      <c r="I26">
        <v>24243536.403999999</v>
      </c>
      <c r="J26" s="5"/>
      <c r="K26">
        <v>776082116.51699996</v>
      </c>
      <c r="L26" s="5"/>
      <c r="M26" s="5"/>
      <c r="N26" s="5"/>
      <c r="O26">
        <v>136252466.465</v>
      </c>
      <c r="P26">
        <v>11708653.223999999</v>
      </c>
      <c r="Q26" s="5"/>
      <c r="R26">
        <v>204421623.28</v>
      </c>
      <c r="S26">
        <v>8187208.1260000002</v>
      </c>
      <c r="T26" s="5"/>
      <c r="U26">
        <v>114089760.12</v>
      </c>
      <c r="V26" s="5"/>
      <c r="W26">
        <v>4728233.9709999999</v>
      </c>
      <c r="Y26">
        <f t="shared" si="19"/>
        <v>2600152172.2180004</v>
      </c>
      <c r="AB26">
        <f t="shared" si="9"/>
        <v>0.50783126780792609</v>
      </c>
      <c r="AC26">
        <f t="shared" si="10"/>
        <v>9.3238913718344425E-3</v>
      </c>
      <c r="AD26">
        <f t="shared" si="16"/>
        <v>0.34235376150221974</v>
      </c>
      <c r="AE26">
        <f t="shared" si="11"/>
        <v>0</v>
      </c>
      <c r="AF26">
        <f t="shared" si="12"/>
        <v>5.6904792446353304E-2</v>
      </c>
      <c r="AG26">
        <f t="shared" si="13"/>
        <v>0.64650390202818553</v>
      </c>
      <c r="AJ26">
        <f t="shared" si="17"/>
        <v>1.8184450977600623E-3</v>
      </c>
      <c r="AN26">
        <f>AVERAGE(E26,E80)</f>
        <v>22.05</v>
      </c>
      <c r="AO26">
        <f>AVERAGE(AG26,AG80)</f>
        <v>0.64650390202818553</v>
      </c>
      <c r="AP26">
        <f>_xlfn.STDEV.P(AG26,AG80)</f>
        <v>0</v>
      </c>
      <c r="AQ26">
        <f>AVERAGE(AC26,AC80)</f>
        <v>9.3238913718344425E-3</v>
      </c>
      <c r="AR26">
        <f>_xlfn.STDEV.P(AC26,AC80)</f>
        <v>0</v>
      </c>
      <c r="AS26">
        <f>AVERAGE(AD26,AD80)</f>
        <v>0.34235376150221974</v>
      </c>
      <c r="AT26">
        <f>_xlfn.STDEV.P(AD26,AD80)</f>
        <v>0</v>
      </c>
      <c r="AU26">
        <f>AVERAGE(AE26,AE80)</f>
        <v>0</v>
      </c>
      <c r="AV26" t="e">
        <f>STDEV(AE26,AE80)</f>
        <v>#DIV/0!</v>
      </c>
      <c r="BC26">
        <v>2</v>
      </c>
      <c r="BD26">
        <v>699.31889999999999</v>
      </c>
    </row>
    <row r="27" spans="1:56" x14ac:dyDescent="0.2">
      <c r="A27" t="s">
        <v>154</v>
      </c>
      <c r="B27">
        <v>3</v>
      </c>
      <c r="C27">
        <v>9</v>
      </c>
      <c r="D27">
        <v>18</v>
      </c>
      <c r="E27">
        <f t="shared" si="14"/>
        <v>36.549999999999997</v>
      </c>
      <c r="F27">
        <v>1388712066.165</v>
      </c>
      <c r="G27">
        <v>141960173.45100001</v>
      </c>
      <c r="H27" s="5"/>
      <c r="I27">
        <v>2169425.517</v>
      </c>
      <c r="J27" s="5"/>
      <c r="K27">
        <v>306572398.53600001</v>
      </c>
      <c r="L27" s="5"/>
      <c r="M27" s="5"/>
      <c r="N27" s="5"/>
      <c r="O27">
        <v>179127727.53</v>
      </c>
      <c r="P27">
        <v>17164265.682999998</v>
      </c>
      <c r="Q27" s="5"/>
      <c r="R27">
        <v>436025765.51999998</v>
      </c>
      <c r="S27">
        <v>18423429.374000002</v>
      </c>
      <c r="T27" s="5"/>
      <c r="U27">
        <v>210516400.84799999</v>
      </c>
      <c r="V27" s="5"/>
      <c r="W27">
        <v>3148009.0950000002</v>
      </c>
      <c r="Y27">
        <f t="shared" si="19"/>
        <v>2703819661.7189999</v>
      </c>
      <c r="AB27">
        <f t="shared" ref="AB27" si="39">(F27+G27)/Y27</f>
        <v>0.56611476767013702</v>
      </c>
      <c r="AC27">
        <f t="shared" ref="AC27" si="40">I27/Y27</f>
        <v>8.0235584780855929E-4</v>
      </c>
      <c r="AD27">
        <f t="shared" si="16"/>
        <v>0.19124381951392863</v>
      </c>
      <c r="AE27">
        <f t="shared" ref="AE27" si="41">M27/Y27</f>
        <v>0</v>
      </c>
      <c r="AF27">
        <f t="shared" ref="AF27" si="42">SUM(O27:P27)/Y27</f>
        <v>7.2598034547986079E-2</v>
      </c>
      <c r="AG27">
        <f t="shared" ref="AG27" si="43">AB27+AF27+SUM(R27:S27)/Y27</f>
        <v>0.8067895424416468</v>
      </c>
      <c r="AJ27">
        <f t="shared" si="17"/>
        <v>1.164282196616101E-3</v>
      </c>
      <c r="AN27">
        <f>AVERAGE(E27,E81)</f>
        <v>36.549999999999997</v>
      </c>
      <c r="AO27" t="e">
        <f>AVERAGE(AG27,AG81)</f>
        <v>#DIV/0!</v>
      </c>
      <c r="AP27" t="e">
        <f>_xlfn.STDEV.P(AG27,AG81)</f>
        <v>#DIV/0!</v>
      </c>
      <c r="AQ27" t="e">
        <f>AVERAGE(AC27,AC81)</f>
        <v>#DIV/0!</v>
      </c>
      <c r="AR27" t="e">
        <f>_xlfn.STDEV.P(AC27,AC81)</f>
        <v>#DIV/0!</v>
      </c>
      <c r="AS27" t="e">
        <f>AVERAGE(AD27,AD81)</f>
        <v>#DIV/0!</v>
      </c>
      <c r="AT27" t="e">
        <f>_xlfn.STDEV.P(AD27,AD81)</f>
        <v>#DIV/0!</v>
      </c>
      <c r="AU27" t="e">
        <f>AVERAGE(AE27,AE81)</f>
        <v>#DIV/0!</v>
      </c>
      <c r="AV27" t="e">
        <f>STDEV(AE27,AE81)</f>
        <v>#DIV/0!</v>
      </c>
    </row>
    <row r="28" spans="1:56" x14ac:dyDescent="0.2">
      <c r="A28" t="s">
        <v>155</v>
      </c>
      <c r="B28">
        <v>3</v>
      </c>
      <c r="C28">
        <v>13</v>
      </c>
      <c r="D28">
        <v>11</v>
      </c>
      <c r="E28">
        <f t="shared" si="14"/>
        <v>40.43333333333333</v>
      </c>
      <c r="F28">
        <v>1377911836.661</v>
      </c>
      <c r="G28">
        <v>149003493.74599999</v>
      </c>
      <c r="I28">
        <v>1225394.652</v>
      </c>
      <c r="K28">
        <v>232027510.95899999</v>
      </c>
      <c r="O28">
        <v>185906904.58399999</v>
      </c>
      <c r="P28">
        <v>18308420.328000002</v>
      </c>
      <c r="R28">
        <v>495313603.421</v>
      </c>
      <c r="S28">
        <v>21651942.829</v>
      </c>
      <c r="U28">
        <v>224136235.692</v>
      </c>
      <c r="W28">
        <v>2631813.0559999999</v>
      </c>
      <c r="Y28">
        <f t="shared" ref="Y28:Y30" si="44">SUM(F28,G28,I28,K28,M28,O28,P28,R28,S28,U28,W28)</f>
        <v>2708117155.9280005</v>
      </c>
      <c r="AB28">
        <f t="shared" ref="AB28:AB30" si="45">(F28+G28)/Y28</f>
        <v>0.56382912647062577</v>
      </c>
      <c r="AC28">
        <f t="shared" ref="AC28:AC30" si="46">I28/Y28</f>
        <v>4.5248952738903553E-4</v>
      </c>
      <c r="AD28">
        <f t="shared" ref="AD28:AD30" si="47">(K28+U28)/Y28</f>
        <v>0.1684431360927163</v>
      </c>
      <c r="AE28">
        <f t="shared" ref="AE28:AE30" si="48">M28/Y28</f>
        <v>0</v>
      </c>
      <c r="AF28">
        <f t="shared" ref="AF28:AF30" si="49">SUM(O28:P28)/Y28</f>
        <v>7.5408600571425718E-2</v>
      </c>
      <c r="AG28">
        <f t="shared" ref="AG28:AG30" si="50">AB28+AF28+SUM(R28:S28)/Y28</f>
        <v>0.83013255045040202</v>
      </c>
      <c r="AJ28">
        <f t="shared" ref="AJ28:AJ30" si="51">W28/Y28</f>
        <v>9.7182392949249894E-4</v>
      </c>
    </row>
    <row r="29" spans="1:56" x14ac:dyDescent="0.2">
      <c r="A29" t="s">
        <v>156</v>
      </c>
      <c r="B29">
        <v>3</v>
      </c>
      <c r="C29">
        <v>19</v>
      </c>
      <c r="D29">
        <v>13</v>
      </c>
      <c r="E29">
        <f t="shared" si="14"/>
        <v>46.466666666666669</v>
      </c>
      <c r="F29">
        <v>1384450880.5309999</v>
      </c>
      <c r="G29">
        <v>143126031.61000001</v>
      </c>
      <c r="I29">
        <v>444305.68199999997</v>
      </c>
      <c r="K29">
        <v>154288194.708</v>
      </c>
      <c r="O29">
        <v>193214510.352</v>
      </c>
      <c r="P29">
        <v>17801002.372000001</v>
      </c>
      <c r="R29">
        <v>597315319.59099996</v>
      </c>
      <c r="S29">
        <v>29566067.096000001</v>
      </c>
      <c r="U29">
        <v>248157696.338</v>
      </c>
      <c r="W29">
        <v>2367811.0299999998</v>
      </c>
      <c r="Y29">
        <f t="shared" si="44"/>
        <v>2770731819.3099999</v>
      </c>
      <c r="AB29">
        <f t="shared" si="45"/>
        <v>0.55132615199164781</v>
      </c>
      <c r="AC29">
        <f t="shared" si="46"/>
        <v>1.6035679776133879E-4</v>
      </c>
      <c r="AD29">
        <f t="shared" si="47"/>
        <v>0.14524895128472656</v>
      </c>
      <c r="AE29">
        <f t="shared" si="48"/>
        <v>0</v>
      </c>
      <c r="AF29">
        <f t="shared" si="49"/>
        <v>7.615876471817816E-2</v>
      </c>
      <c r="AG29">
        <f t="shared" si="50"/>
        <v>0.85373611226693091</v>
      </c>
      <c r="AJ29">
        <f t="shared" si="51"/>
        <v>8.545796505811449E-4</v>
      </c>
    </row>
    <row r="30" spans="1:56" x14ac:dyDescent="0.2">
      <c r="A30" t="s">
        <v>157</v>
      </c>
      <c r="B30">
        <v>4</v>
      </c>
      <c r="C30">
        <v>9</v>
      </c>
      <c r="D30">
        <v>24</v>
      </c>
      <c r="E30">
        <f t="shared" si="14"/>
        <v>60.65</v>
      </c>
      <c r="F30">
        <v>1148827267.78</v>
      </c>
      <c r="G30">
        <v>124983438.86399999</v>
      </c>
      <c r="K30">
        <v>56676828.884000003</v>
      </c>
      <c r="O30">
        <v>169932833.155</v>
      </c>
      <c r="P30">
        <v>17178477.960999999</v>
      </c>
      <c r="R30">
        <v>712664885.27199996</v>
      </c>
      <c r="S30">
        <v>44822930.662</v>
      </c>
      <c r="U30">
        <v>261310409.96799999</v>
      </c>
      <c r="W30">
        <v>1148229.287</v>
      </c>
      <c r="Y30">
        <f t="shared" si="44"/>
        <v>2537545301.8330002</v>
      </c>
      <c r="AB30">
        <f t="shared" si="45"/>
        <v>0.50198540523546942</v>
      </c>
      <c r="AC30">
        <f t="shared" si="46"/>
        <v>0</v>
      </c>
      <c r="AD30">
        <f t="shared" si="47"/>
        <v>0.12531293081636863</v>
      </c>
      <c r="AE30">
        <f t="shared" si="48"/>
        <v>0</v>
      </c>
      <c r="AF30">
        <f t="shared" si="49"/>
        <v>7.3737131305927753E-2</v>
      </c>
      <c r="AG30">
        <f t="shared" si="50"/>
        <v>0.87423457310950392</v>
      </c>
      <c r="AJ30">
        <f t="shared" si="51"/>
        <v>4.5249607412745481E-4</v>
      </c>
    </row>
    <row r="34" spans="1:56" x14ac:dyDescent="0.2">
      <c r="B34" t="s">
        <v>14</v>
      </c>
      <c r="C34" t="s">
        <v>15</v>
      </c>
      <c r="D34" t="s">
        <v>16</v>
      </c>
      <c r="E34" t="s">
        <v>10</v>
      </c>
      <c r="O34" t="s">
        <v>11</v>
      </c>
      <c r="R34" t="s">
        <v>9</v>
      </c>
      <c r="U34" t="s">
        <v>12</v>
      </c>
      <c r="W34" t="s">
        <v>17</v>
      </c>
    </row>
    <row r="35" spans="1:56" x14ac:dyDescent="0.2">
      <c r="F35" s="1">
        <v>395.87</v>
      </c>
      <c r="G35" s="1">
        <v>593.29999999999995</v>
      </c>
      <c r="H35" s="1"/>
      <c r="I35" s="1">
        <v>693.3</v>
      </c>
      <c r="J35" s="1"/>
      <c r="K35" s="1">
        <v>669.3</v>
      </c>
      <c r="L35" s="1"/>
      <c r="M35" s="1">
        <v>793.3</v>
      </c>
      <c r="O35" s="1">
        <v>399.87869999999998</v>
      </c>
      <c r="P35" s="1">
        <v>599.30340000000001</v>
      </c>
      <c r="R35" s="1">
        <v>409.54649999999998</v>
      </c>
      <c r="S35" s="1">
        <v>614.30830000000003</v>
      </c>
      <c r="U35" s="1">
        <v>628.28800000000001</v>
      </c>
      <c r="W35" s="1">
        <v>684.31370000000004</v>
      </c>
      <c r="Y35" t="s">
        <v>0</v>
      </c>
      <c r="AB35" t="s">
        <v>1</v>
      </c>
      <c r="AC35" t="s">
        <v>2</v>
      </c>
      <c r="AD35" t="s">
        <v>18</v>
      </c>
      <c r="AE35" t="s">
        <v>4</v>
      </c>
      <c r="AF35" t="s">
        <v>7</v>
      </c>
      <c r="AG35" t="s">
        <v>8</v>
      </c>
      <c r="AJ35">
        <v>684</v>
      </c>
      <c r="AM35" t="s">
        <v>19</v>
      </c>
      <c r="AN35" t="s">
        <v>20</v>
      </c>
      <c r="AO35" t="s">
        <v>21</v>
      </c>
      <c r="AP35" t="s">
        <v>22</v>
      </c>
      <c r="AQ35" t="s">
        <v>2</v>
      </c>
      <c r="AR35" t="s">
        <v>22</v>
      </c>
      <c r="AS35" t="s">
        <v>23</v>
      </c>
      <c r="AT35" t="s">
        <v>22</v>
      </c>
      <c r="AU35" t="s">
        <v>24</v>
      </c>
      <c r="AV35" t="s">
        <v>22</v>
      </c>
      <c r="BD35" t="s">
        <v>13</v>
      </c>
    </row>
    <row r="36" spans="1:56" x14ac:dyDescent="0.2">
      <c r="B36">
        <v>1</v>
      </c>
      <c r="C36">
        <v>20</v>
      </c>
      <c r="D36">
        <v>50</v>
      </c>
      <c r="E36">
        <v>0</v>
      </c>
      <c r="AC36">
        <v>0</v>
      </c>
      <c r="AD36">
        <v>0</v>
      </c>
      <c r="AE36">
        <v>0</v>
      </c>
      <c r="AG36">
        <v>1</v>
      </c>
      <c r="AN36">
        <f>AVERAGE(E36,E107)</f>
        <v>0</v>
      </c>
      <c r="AO36">
        <f>AVERAGE(AG36,AG107)</f>
        <v>1</v>
      </c>
      <c r="AP36">
        <f>_xlfn.STDEV.P(AG36,AG107)</f>
        <v>0</v>
      </c>
      <c r="AQ36">
        <f>AVERAGE(AC36,AC107)</f>
        <v>0</v>
      </c>
      <c r="AR36">
        <f>_xlfn.STDEV.P(AC36,AC107)</f>
        <v>0</v>
      </c>
      <c r="AS36">
        <f>AVERAGE(AD36,AD107)</f>
        <v>0</v>
      </c>
      <c r="AT36">
        <f>_xlfn.STDEV.P(AD36,AD107)</f>
        <v>0</v>
      </c>
      <c r="AU36">
        <f>AVERAGE(AE36,AE107)</f>
        <v>0</v>
      </c>
      <c r="AV36" t="e">
        <f>STDEV(AE36,AE107)</f>
        <v>#DIV/0!</v>
      </c>
      <c r="BC36">
        <v>3</v>
      </c>
      <c r="BD36">
        <v>405.87459999999999</v>
      </c>
    </row>
    <row r="37" spans="1:56" x14ac:dyDescent="0.2">
      <c r="A37" t="s">
        <v>158</v>
      </c>
      <c r="B37">
        <v>1</v>
      </c>
      <c r="C37">
        <v>20</v>
      </c>
      <c r="D37">
        <v>52</v>
      </c>
      <c r="E37">
        <f t="shared" ref="E37:E42" si="52">(B37-$B$36)*24+(C37-$C$36)+(D37-$D$36)/60</f>
        <v>3.3333333333333333E-2</v>
      </c>
      <c r="F37">
        <v>2417237534.4369998</v>
      </c>
      <c r="G37">
        <v>230119679.30599999</v>
      </c>
      <c r="H37" s="5"/>
      <c r="I37">
        <v>231529286.51699999</v>
      </c>
      <c r="J37" s="5"/>
      <c r="K37">
        <v>17483890.103999998</v>
      </c>
      <c r="L37" s="5"/>
      <c r="M37">
        <v>11717128.513</v>
      </c>
      <c r="N37" s="5"/>
      <c r="O37">
        <v>53489262.162</v>
      </c>
      <c r="P37">
        <v>4575738.6509999996</v>
      </c>
      <c r="Q37" s="5"/>
      <c r="R37">
        <v>8355316.4029999999</v>
      </c>
      <c r="T37" s="5"/>
      <c r="U37" s="5"/>
      <c r="V37" s="5"/>
      <c r="W37" s="5"/>
      <c r="Y37">
        <f>SUM(F37,G37,I37,K37,M37,O37,P37,R37,S37,U37,W37)</f>
        <v>2974507836.0930004</v>
      </c>
      <c r="AB37">
        <f t="shared" ref="AB37" si="53">(F37+G37)/Y37</f>
        <v>0.89001520911112786</v>
      </c>
      <c r="AC37">
        <f t="shared" ref="AC37" si="54">I37/Y37</f>
        <v>7.7837847225547208E-2</v>
      </c>
      <c r="AD37">
        <f>(K37+U37)/Y37</f>
        <v>5.8779102518569902E-3</v>
      </c>
      <c r="AE37">
        <f t="shared" ref="AE37" si="55">M37/Y37</f>
        <v>3.9391822643138116E-3</v>
      </c>
      <c r="AF37">
        <f>SUM(O37:P37)/Y37</f>
        <v>1.9520876734104711E-2</v>
      </c>
      <c r="AG37">
        <f t="shared" ref="AG37" si="56">AB37+AF37+SUM(R37:S37)/Y37</f>
        <v>0.91234506025828199</v>
      </c>
      <c r="AJ37">
        <f>W37/Y37</f>
        <v>0</v>
      </c>
      <c r="AN37">
        <f>AVERAGE(E37,E108)</f>
        <v>1.6666666666666666E-2</v>
      </c>
      <c r="AO37">
        <f>AVERAGE(AG37,AG108)</f>
        <v>0.95617253012914105</v>
      </c>
      <c r="AP37">
        <f>_xlfn.STDEV.P(AG37,AG108)</f>
        <v>4.3827469870859004E-2</v>
      </c>
      <c r="AQ37">
        <f>AVERAGE(AC37,AC108)</f>
        <v>3.8918923612773604E-2</v>
      </c>
      <c r="AR37">
        <f>_xlfn.STDEV.P(AC37,AC108)</f>
        <v>3.8918923612773604E-2</v>
      </c>
      <c r="AS37">
        <f>AVERAGE(AD37,AD108)</f>
        <v>2.9389551259284951E-3</v>
      </c>
      <c r="AT37">
        <f>_xlfn.STDEV.P(AD37,AD108)</f>
        <v>2.9389551259284951E-3</v>
      </c>
      <c r="AU37">
        <f>AVERAGE(AE37,AE108)</f>
        <v>1.9695911321569058E-3</v>
      </c>
      <c r="AV37">
        <f>STDEV(AE37,AE108)</f>
        <v>2.7854224914260753E-3</v>
      </c>
      <c r="BC37">
        <v>3</v>
      </c>
      <c r="BD37">
        <v>412.53070000000002</v>
      </c>
    </row>
    <row r="38" spans="1:56" x14ac:dyDescent="0.2">
      <c r="A38" t="s">
        <v>159</v>
      </c>
      <c r="B38">
        <v>1</v>
      </c>
      <c r="C38">
        <v>21</v>
      </c>
      <c r="D38">
        <v>29</v>
      </c>
      <c r="E38">
        <f t="shared" si="52"/>
        <v>0.65</v>
      </c>
      <c r="F38">
        <v>488037235.83899999</v>
      </c>
      <c r="G38">
        <v>49209013.601999998</v>
      </c>
      <c r="I38">
        <v>1492976062.9960001</v>
      </c>
      <c r="K38">
        <v>544287531.78499997</v>
      </c>
      <c r="M38">
        <v>24243211.454999998</v>
      </c>
      <c r="O38">
        <v>52602325.296999998</v>
      </c>
      <c r="P38">
        <v>4590595.358</v>
      </c>
      <c r="R38">
        <v>8996158.0889999997</v>
      </c>
      <c r="S38">
        <v>1505648.8330000001</v>
      </c>
      <c r="U38">
        <v>710978.88899999997</v>
      </c>
      <c r="W38">
        <v>743573.29799999995</v>
      </c>
      <c r="Y38">
        <f t="shared" ref="Y38:Y63" si="57">SUM(F38,G38,I38,K38,M38,O38,P38,R38,S38,U38,W38)</f>
        <v>2667902335.441</v>
      </c>
      <c r="AB38">
        <f t="shared" ref="AB38:AB63" si="58">(F38+G38)/Y38</f>
        <v>0.20137403168927998</v>
      </c>
      <c r="AC38">
        <f t="shared" ref="AC38:AC63" si="59">I38/Y38</f>
        <v>0.5596067154194434</v>
      </c>
      <c r="AD38">
        <f t="shared" ref="AD38:AD63" si="60">(K38+U38)/Y38</f>
        <v>0.20427978319675358</v>
      </c>
      <c r="AE38">
        <f t="shared" ref="AE38:AE63" si="61">M38/Y38</f>
        <v>9.0869936027821781E-3</v>
      </c>
      <c r="AF38">
        <f t="shared" ref="AF38:AF63" si="62">SUM(O38:P38)/Y38</f>
        <v>2.1437411668049723E-2</v>
      </c>
      <c r="AG38">
        <f>AB38+AF38+SUM(R38:S38)/Y38</f>
        <v>0.22674779694212613</v>
      </c>
    </row>
    <row r="39" spans="1:56" x14ac:dyDescent="0.2">
      <c r="A39" t="s">
        <v>160</v>
      </c>
      <c r="B39">
        <v>1</v>
      </c>
      <c r="C39">
        <v>22</v>
      </c>
      <c r="D39">
        <v>5</v>
      </c>
      <c r="E39">
        <f t="shared" si="52"/>
        <v>1.25</v>
      </c>
      <c r="F39">
        <v>314505169.514</v>
      </c>
      <c r="G39">
        <v>31043436.338</v>
      </c>
      <c r="I39">
        <v>1239239102.1140001</v>
      </c>
      <c r="K39">
        <v>990482509.03600001</v>
      </c>
      <c r="M39">
        <v>5525618.2769999998</v>
      </c>
      <c r="O39">
        <v>24924928.488000002</v>
      </c>
      <c r="P39">
        <v>1908735.639</v>
      </c>
      <c r="R39">
        <v>10328696.921</v>
      </c>
      <c r="S39">
        <v>1771138.4650000001</v>
      </c>
      <c r="U39">
        <v>1137245.611</v>
      </c>
      <c r="W39">
        <v>1368871.9809999999</v>
      </c>
      <c r="Y39">
        <f t="shared" si="57"/>
        <v>2622235452.3839998</v>
      </c>
      <c r="AB39">
        <f t="shared" si="58"/>
        <v>0.13177634584180656</v>
      </c>
      <c r="AC39">
        <f t="shared" si="59"/>
        <v>0.47258879860973141</v>
      </c>
      <c r="AD39">
        <f t="shared" si="60"/>
        <v>0.37815816796522639</v>
      </c>
      <c r="AE39">
        <f t="shared" si="61"/>
        <v>2.1072166772729715E-3</v>
      </c>
      <c r="AF39">
        <f t="shared" si="62"/>
        <v>1.023312536736708E-2</v>
      </c>
      <c r="AG39">
        <f t="shared" ref="AG38:AG63" si="63">AB39+AF39+SUM(R39:S39)/Y39</f>
        <v>0.14662379193121233</v>
      </c>
    </row>
    <row r="40" spans="1:56" x14ac:dyDescent="0.2">
      <c r="A40" t="s">
        <v>161</v>
      </c>
      <c r="B40">
        <v>1</v>
      </c>
      <c r="C40">
        <v>22</v>
      </c>
      <c r="D40">
        <v>41</v>
      </c>
      <c r="E40">
        <f>(B40-$B$36)*24+(C40-$C$36)+(D40-$D$36)/60</f>
        <v>1.85</v>
      </c>
      <c r="F40">
        <v>279885386.60500002</v>
      </c>
      <c r="G40">
        <v>28517899.682999998</v>
      </c>
      <c r="I40">
        <v>909886517.11099994</v>
      </c>
      <c r="K40">
        <v>1325073004.211</v>
      </c>
      <c r="M40">
        <v>925835.77800000005</v>
      </c>
      <c r="O40">
        <v>20202356.855</v>
      </c>
      <c r="P40">
        <v>1917518.301</v>
      </c>
      <c r="R40">
        <v>11922673.959000001</v>
      </c>
      <c r="S40">
        <v>2417099.7880000002</v>
      </c>
      <c r="U40">
        <v>1569761.1610000001</v>
      </c>
      <c r="W40">
        <v>2071524.1270000001</v>
      </c>
      <c r="Y40">
        <f t="shared" si="57"/>
        <v>2584389577.5789995</v>
      </c>
      <c r="AB40">
        <f t="shared" si="58"/>
        <v>0.1193331256880031</v>
      </c>
      <c r="AC40">
        <f t="shared" si="59"/>
        <v>0.3520701851627811</v>
      </c>
      <c r="AD40">
        <f t="shared" si="60"/>
        <v>0.51332925069863899</v>
      </c>
      <c r="AE40">
        <f t="shared" si="61"/>
        <v>3.5824156931761933E-4</v>
      </c>
      <c r="AF40">
        <f t="shared" si="62"/>
        <v>8.5590327974938759E-3</v>
      </c>
      <c r="AG40">
        <f t="shared" si="63"/>
        <v>0.13344076999182924</v>
      </c>
    </row>
    <row r="41" spans="1:56" x14ac:dyDescent="0.2">
      <c r="A41" t="s">
        <v>162</v>
      </c>
      <c r="B41">
        <v>1</v>
      </c>
      <c r="C41">
        <v>23</v>
      </c>
      <c r="D41">
        <v>17</v>
      </c>
      <c r="E41">
        <f t="shared" si="52"/>
        <v>2.4500000000000002</v>
      </c>
      <c r="F41">
        <v>288346249.59600002</v>
      </c>
      <c r="G41">
        <v>29471880.498</v>
      </c>
      <c r="I41">
        <v>690397630.27100003</v>
      </c>
      <c r="K41">
        <v>1535001251.1099999</v>
      </c>
      <c r="O41">
        <v>21216690.528999999</v>
      </c>
      <c r="P41">
        <v>1562115.45</v>
      </c>
      <c r="R41">
        <v>12674720.119000001</v>
      </c>
      <c r="S41">
        <v>2125525.5660000001</v>
      </c>
      <c r="U41">
        <v>2115097.9330000002</v>
      </c>
      <c r="W41">
        <v>2363015.0559999999</v>
      </c>
      <c r="Y41">
        <f t="shared" si="57"/>
        <v>2585274176.1279998</v>
      </c>
      <c r="AB41">
        <f t="shared" si="58"/>
        <v>0.12293401335482358</v>
      </c>
      <c r="AC41">
        <f t="shared" si="59"/>
        <v>0.26705006248312818</v>
      </c>
      <c r="AD41">
        <f t="shared" si="60"/>
        <v>0.59456608635033059</v>
      </c>
      <c r="AE41">
        <f t="shared" si="61"/>
        <v>0</v>
      </c>
      <c r="AF41">
        <f t="shared" si="62"/>
        <v>8.8109826761647875E-3</v>
      </c>
      <c r="AG41">
        <f t="shared" si="63"/>
        <v>0.1374698223653335</v>
      </c>
    </row>
    <row r="42" spans="1:56" x14ac:dyDescent="0.2">
      <c r="A42" t="s">
        <v>163</v>
      </c>
      <c r="B42">
        <v>1</v>
      </c>
      <c r="C42">
        <v>23</v>
      </c>
      <c r="D42">
        <v>54</v>
      </c>
      <c r="E42">
        <f t="shared" si="52"/>
        <v>3.0666666666666669</v>
      </c>
      <c r="F42">
        <v>310836048.59899998</v>
      </c>
      <c r="G42">
        <v>30894828.215</v>
      </c>
      <c r="I42">
        <v>563791703.70000005</v>
      </c>
      <c r="K42">
        <v>563791703.70000005</v>
      </c>
      <c r="O42">
        <v>22129614.899</v>
      </c>
      <c r="P42">
        <v>2001315.4410000001</v>
      </c>
      <c r="R42">
        <v>14367104.581</v>
      </c>
      <c r="S42">
        <v>2679372.398</v>
      </c>
      <c r="U42">
        <v>2664475.5649999999</v>
      </c>
      <c r="W42">
        <v>2822920.16</v>
      </c>
      <c r="Y42">
        <f t="shared" si="57"/>
        <v>1515979087.2580001</v>
      </c>
      <c r="AB42">
        <f t="shared" si="58"/>
        <v>0.2254192552432234</v>
      </c>
      <c r="AC42">
        <f t="shared" si="59"/>
        <v>0.3718993938892311</v>
      </c>
      <c r="AD42">
        <f t="shared" si="60"/>
        <v>0.37365698776858952</v>
      </c>
      <c r="AE42">
        <f t="shared" si="61"/>
        <v>0</v>
      </c>
      <c r="AF42">
        <f t="shared" si="62"/>
        <v>1.5917719804200193E-2</v>
      </c>
      <c r="AG42">
        <f t="shared" si="63"/>
        <v>0.25258150811669733</v>
      </c>
    </row>
    <row r="43" spans="1:56" x14ac:dyDescent="0.2">
      <c r="A43" t="s">
        <v>164</v>
      </c>
      <c r="B43">
        <v>2</v>
      </c>
      <c r="C43">
        <v>0</v>
      </c>
      <c r="D43">
        <v>30</v>
      </c>
      <c r="E43">
        <f>(B43-$B$36)*24+(C43-$C$36)+(D43-$D$36)/60</f>
        <v>3.6666666666666665</v>
      </c>
      <c r="F43">
        <v>325954928.25</v>
      </c>
      <c r="G43">
        <v>33329588.381000001</v>
      </c>
      <c r="I43">
        <v>434734791.61299998</v>
      </c>
      <c r="K43">
        <v>1773160076.7709999</v>
      </c>
      <c r="O43">
        <v>25357792.938999999</v>
      </c>
      <c r="P43">
        <v>2138616.9879999999</v>
      </c>
      <c r="R43">
        <v>16167008.794</v>
      </c>
      <c r="S43">
        <v>2184894.2960000001</v>
      </c>
      <c r="U43">
        <v>3335571.6460000002</v>
      </c>
      <c r="W43">
        <v>4021995.26</v>
      </c>
      <c r="Y43">
        <f t="shared" si="57"/>
        <v>2620385264.9380002</v>
      </c>
      <c r="AB43">
        <f t="shared" si="58"/>
        <v>0.13711133299305164</v>
      </c>
      <c r="AC43">
        <f t="shared" si="59"/>
        <v>0.16590491384223457</v>
      </c>
      <c r="AD43">
        <f t="shared" si="60"/>
        <v>0.67795208291977349</v>
      </c>
      <c r="AE43">
        <f t="shared" si="61"/>
        <v>0</v>
      </c>
      <c r="AF43">
        <f t="shared" si="62"/>
        <v>1.0493269938170936E-2</v>
      </c>
      <c r="AG43">
        <f t="shared" si="63"/>
        <v>0.15460811624491624</v>
      </c>
    </row>
    <row r="44" spans="1:56" x14ac:dyDescent="0.2">
      <c r="A44" t="s">
        <v>165</v>
      </c>
      <c r="B44">
        <v>2</v>
      </c>
      <c r="C44">
        <v>1</v>
      </c>
      <c r="D44">
        <v>6</v>
      </c>
      <c r="E44">
        <f t="shared" ref="E44:E64" si="64">(B44-$B$36)*24+(C44-$C$36)+(D44-$D$36)/60</f>
        <v>4.2666666666666666</v>
      </c>
      <c r="F44">
        <v>356352966.926</v>
      </c>
      <c r="G44">
        <v>35536188.594999999</v>
      </c>
      <c r="I44">
        <v>347348997.42299998</v>
      </c>
      <c r="K44">
        <v>1765304717.3570001</v>
      </c>
      <c r="O44">
        <v>28593640.300999999</v>
      </c>
      <c r="P44">
        <v>2067449.4750000001</v>
      </c>
      <c r="R44">
        <v>18050689.352000002</v>
      </c>
      <c r="S44">
        <v>2227639.3590000002</v>
      </c>
      <c r="U44">
        <v>4561717.8689999999</v>
      </c>
      <c r="W44">
        <v>4416309.3039999995</v>
      </c>
      <c r="Y44">
        <f t="shared" si="57"/>
        <v>2564460315.9610004</v>
      </c>
      <c r="AB44">
        <f t="shared" si="58"/>
        <v>0.1528154493488991</v>
      </c>
      <c r="AC44">
        <f t="shared" si="59"/>
        <v>0.13544721096330756</v>
      </c>
      <c r="AD44">
        <f t="shared" si="60"/>
        <v>0.69015161755886401</v>
      </c>
      <c r="AE44">
        <f t="shared" si="61"/>
        <v>0</v>
      </c>
      <c r="AF44">
        <f t="shared" si="62"/>
        <v>1.1956156851080041E-2</v>
      </c>
      <c r="AG44">
        <f t="shared" si="63"/>
        <v>0.17267905112505333</v>
      </c>
    </row>
    <row r="45" spans="1:56" x14ac:dyDescent="0.2">
      <c r="A45" t="s">
        <v>166</v>
      </c>
      <c r="B45">
        <v>2</v>
      </c>
      <c r="C45">
        <v>1</v>
      </c>
      <c r="D45">
        <v>42</v>
      </c>
      <c r="E45">
        <f t="shared" si="64"/>
        <v>4.8666666666666663</v>
      </c>
      <c r="F45">
        <v>373868165.35500002</v>
      </c>
      <c r="G45">
        <v>38105101.240999997</v>
      </c>
      <c r="I45">
        <v>287658202.59600002</v>
      </c>
      <c r="K45">
        <v>1800294794.3469999</v>
      </c>
      <c r="O45">
        <v>31460486.250999998</v>
      </c>
      <c r="P45">
        <v>2712934.8739999998</v>
      </c>
      <c r="R45">
        <v>20358439.919</v>
      </c>
      <c r="S45">
        <v>2457962.6340000001</v>
      </c>
      <c r="U45">
        <v>5277419.3490000004</v>
      </c>
      <c r="W45">
        <v>4677885.1560000004</v>
      </c>
      <c r="Y45">
        <f t="shared" si="57"/>
        <v>2566871391.7220001</v>
      </c>
      <c r="AB45">
        <f t="shared" si="58"/>
        <v>0.16049626324271177</v>
      </c>
      <c r="AC45">
        <f t="shared" si="59"/>
        <v>0.11206568569180356</v>
      </c>
      <c r="AD45">
        <f t="shared" si="60"/>
        <v>0.70341358726380199</v>
      </c>
      <c r="AE45">
        <f t="shared" si="61"/>
        <v>0</v>
      </c>
      <c r="AF45">
        <f t="shared" si="62"/>
        <v>1.3313258013318138E-2</v>
      </c>
      <c r="AG45">
        <f t="shared" si="63"/>
        <v>0.18269831974690151</v>
      </c>
    </row>
    <row r="46" spans="1:56" x14ac:dyDescent="0.2">
      <c r="A46" t="s">
        <v>167</v>
      </c>
      <c r="B46">
        <v>2</v>
      </c>
      <c r="C46">
        <v>2</v>
      </c>
      <c r="D46">
        <v>18</v>
      </c>
      <c r="E46">
        <f>(B46-$B$36)*24+(C46-$C$36)+(D46-$D$36)/60</f>
        <v>5.4666666666666668</v>
      </c>
      <c r="F46">
        <v>412331780.76800001</v>
      </c>
      <c r="G46">
        <v>40678279.973999999</v>
      </c>
      <c r="I46">
        <v>244347277.47600001</v>
      </c>
      <c r="K46">
        <v>1837836670.8410001</v>
      </c>
      <c r="O46">
        <v>36428563.714000002</v>
      </c>
      <c r="P46">
        <v>3309189.264</v>
      </c>
      <c r="R46">
        <v>24106501.458999999</v>
      </c>
      <c r="S46">
        <v>2295248.5380000002</v>
      </c>
      <c r="U46">
        <v>7381391.2439999999</v>
      </c>
      <c r="W46">
        <v>5256301.0489999996</v>
      </c>
      <c r="Y46">
        <f t="shared" si="57"/>
        <v>2613971204.3270001</v>
      </c>
      <c r="AB46">
        <f t="shared" si="58"/>
        <v>0.17330338604806211</v>
      </c>
      <c r="AC46">
        <f t="shared" si="59"/>
        <v>9.3477417452618922E-2</v>
      </c>
      <c r="AD46">
        <f t="shared" si="60"/>
        <v>0.7059060402159536</v>
      </c>
      <c r="AE46">
        <f t="shared" si="61"/>
        <v>0</v>
      </c>
      <c r="AF46">
        <f t="shared" si="62"/>
        <v>1.5202062253869008E-2</v>
      </c>
      <c r="AG46">
        <f t="shared" si="63"/>
        <v>0.19860569345891532</v>
      </c>
    </row>
    <row r="47" spans="1:56" x14ac:dyDescent="0.2">
      <c r="A47" t="s">
        <v>168</v>
      </c>
      <c r="B47">
        <v>2</v>
      </c>
      <c r="C47">
        <v>2</v>
      </c>
      <c r="D47">
        <v>55</v>
      </c>
      <c r="E47">
        <f t="shared" si="64"/>
        <v>6.083333333333333</v>
      </c>
      <c r="F47">
        <v>460019204.44099998</v>
      </c>
      <c r="G47">
        <v>46781548.015000001</v>
      </c>
      <c r="I47">
        <v>203237917.04300001</v>
      </c>
      <c r="K47">
        <v>1812565983.9000001</v>
      </c>
      <c r="O47">
        <v>39976839.960000001</v>
      </c>
      <c r="P47">
        <v>3693199.6</v>
      </c>
      <c r="R47">
        <v>29364325.041999999</v>
      </c>
      <c r="S47">
        <v>2830120.915</v>
      </c>
      <c r="U47">
        <v>9560341.5460000001</v>
      </c>
      <c r="W47">
        <v>5024541.1279999996</v>
      </c>
      <c r="Y47">
        <f t="shared" si="57"/>
        <v>2613054021.5899997</v>
      </c>
      <c r="AB47">
        <f t="shared" si="58"/>
        <v>0.19394958859198028</v>
      </c>
      <c r="AC47">
        <f t="shared" si="59"/>
        <v>7.7777923978522706E-2</v>
      </c>
      <c r="AD47">
        <f t="shared" si="60"/>
        <v>0.69731674523026765</v>
      </c>
      <c r="AE47">
        <f t="shared" si="61"/>
        <v>0</v>
      </c>
      <c r="AF47">
        <f t="shared" si="62"/>
        <v>1.6712260519370171E-2</v>
      </c>
      <c r="AG47">
        <f t="shared" si="63"/>
        <v>0.22298246923286258</v>
      </c>
    </row>
    <row r="48" spans="1:56" x14ac:dyDescent="0.2">
      <c r="A48" t="s">
        <v>169</v>
      </c>
      <c r="B48">
        <v>2</v>
      </c>
      <c r="C48">
        <v>3</v>
      </c>
      <c r="D48">
        <v>31</v>
      </c>
      <c r="E48">
        <f t="shared" si="64"/>
        <v>6.6833333333333336</v>
      </c>
      <c r="F48">
        <v>479285505.83700001</v>
      </c>
      <c r="G48">
        <v>47138237.993000001</v>
      </c>
      <c r="I48">
        <v>171669046.236</v>
      </c>
      <c r="K48">
        <v>1732389712.2639999</v>
      </c>
      <c r="O48">
        <v>44474228.255000003</v>
      </c>
      <c r="P48">
        <v>3861301.3080000002</v>
      </c>
      <c r="R48">
        <v>31284417.642999999</v>
      </c>
      <c r="S48">
        <v>2746799.179</v>
      </c>
      <c r="U48">
        <v>11518823.463</v>
      </c>
      <c r="W48">
        <v>5703779.8499999996</v>
      </c>
      <c r="Y48">
        <f t="shared" si="57"/>
        <v>2530071852.0279999</v>
      </c>
      <c r="AB48">
        <f t="shared" si="58"/>
        <v>0.20806671692269954</v>
      </c>
      <c r="AC48">
        <f t="shared" si="59"/>
        <v>6.785145097693461E-2</v>
      </c>
      <c r="AD48">
        <f t="shared" si="60"/>
        <v>0.68927233601257443</v>
      </c>
      <c r="AE48">
        <f t="shared" si="61"/>
        <v>0</v>
      </c>
      <c r="AF48">
        <f t="shared" si="62"/>
        <v>1.9104409830992056E-2</v>
      </c>
      <c r="AG48">
        <f t="shared" si="63"/>
        <v>0.24062181859658216</v>
      </c>
    </row>
    <row r="49" spans="1:33" x14ac:dyDescent="0.2">
      <c r="A49" t="s">
        <v>170</v>
      </c>
      <c r="B49">
        <v>2</v>
      </c>
      <c r="C49">
        <v>4</v>
      </c>
      <c r="D49">
        <v>7</v>
      </c>
      <c r="E49">
        <f t="shared" si="64"/>
        <v>7.2833333333333332</v>
      </c>
      <c r="F49">
        <v>521119100.37400001</v>
      </c>
      <c r="G49">
        <v>50970470.111000001</v>
      </c>
      <c r="I49">
        <v>154170095.699</v>
      </c>
      <c r="K49">
        <v>1756594132.253</v>
      </c>
      <c r="O49">
        <v>49839648.516999997</v>
      </c>
      <c r="P49">
        <v>4185311.1159999999</v>
      </c>
      <c r="R49">
        <v>36239761.137000002</v>
      </c>
      <c r="S49">
        <v>2718354.2790000001</v>
      </c>
      <c r="U49">
        <v>14478369.639</v>
      </c>
      <c r="W49">
        <v>5855750.8499999996</v>
      </c>
      <c r="Y49">
        <f t="shared" si="57"/>
        <v>2596170993.9750004</v>
      </c>
      <c r="AB49">
        <f t="shared" si="58"/>
        <v>0.22035897165967216</v>
      </c>
      <c r="AC49">
        <f t="shared" si="59"/>
        <v>5.9383644627717683E-2</v>
      </c>
      <c r="AD49">
        <f t="shared" si="60"/>
        <v>0.68218638371747187</v>
      </c>
      <c r="AE49">
        <f t="shared" si="61"/>
        <v>0</v>
      </c>
      <c r="AF49">
        <f t="shared" si="62"/>
        <v>2.0809476632462607E-2</v>
      </c>
      <c r="AG49">
        <f t="shared" si="63"/>
        <v>0.25617443807724949</v>
      </c>
    </row>
    <row r="50" spans="1:33" x14ac:dyDescent="0.2">
      <c r="A50" t="s">
        <v>171</v>
      </c>
      <c r="B50">
        <v>2</v>
      </c>
      <c r="C50">
        <v>4</v>
      </c>
      <c r="D50">
        <v>43</v>
      </c>
      <c r="E50">
        <f t="shared" si="64"/>
        <v>7.8833333333333337</v>
      </c>
      <c r="F50">
        <v>553885129.653</v>
      </c>
      <c r="G50">
        <v>55838325.803000003</v>
      </c>
      <c r="I50">
        <v>136570281.65900001</v>
      </c>
      <c r="K50">
        <v>1745713001.421</v>
      </c>
      <c r="O50">
        <v>54363376.122000001</v>
      </c>
      <c r="P50">
        <v>4699592.7010000004</v>
      </c>
      <c r="R50">
        <v>39893725.303000003</v>
      </c>
      <c r="S50">
        <v>2836723.5860000001</v>
      </c>
      <c r="U50">
        <v>18050447.633000001</v>
      </c>
      <c r="W50">
        <v>6538280.6940000001</v>
      </c>
      <c r="Y50">
        <f t="shared" si="57"/>
        <v>2618388884.5750003</v>
      </c>
      <c r="AB50">
        <f t="shared" si="58"/>
        <v>0.23286206989645325</v>
      </c>
      <c r="AC50">
        <f t="shared" si="59"/>
        <v>5.2158135280644995E-2</v>
      </c>
      <c r="AD50">
        <f t="shared" si="60"/>
        <v>0.67360637659454559</v>
      </c>
      <c r="AE50">
        <f t="shared" si="61"/>
        <v>0</v>
      </c>
      <c r="AF50">
        <f t="shared" si="62"/>
        <v>2.2556988830399312E-2</v>
      </c>
      <c r="AG50">
        <f t="shared" si="63"/>
        <v>0.27173842562484324</v>
      </c>
    </row>
    <row r="51" spans="1:33" x14ac:dyDescent="0.2">
      <c r="A51" t="s">
        <v>172</v>
      </c>
      <c r="B51">
        <v>2</v>
      </c>
      <c r="C51">
        <v>5</v>
      </c>
      <c r="D51">
        <v>19</v>
      </c>
      <c r="E51">
        <f t="shared" si="64"/>
        <v>8.4833333333333325</v>
      </c>
      <c r="F51">
        <v>611966966.53699994</v>
      </c>
      <c r="G51">
        <v>60276586.035999998</v>
      </c>
      <c r="I51">
        <v>118901981.539</v>
      </c>
      <c r="K51">
        <v>1690138013.3469999</v>
      </c>
      <c r="O51">
        <v>58894424.402000003</v>
      </c>
      <c r="P51">
        <v>5173104.4740000004</v>
      </c>
      <c r="R51">
        <v>45399043.468999997</v>
      </c>
      <c r="S51">
        <v>2898501.0290000001</v>
      </c>
      <c r="U51">
        <v>21670109.114</v>
      </c>
      <c r="W51">
        <v>6958714.7649999997</v>
      </c>
      <c r="Y51">
        <f t="shared" si="57"/>
        <v>2622277444.7119989</v>
      </c>
      <c r="AB51">
        <f t="shared" si="58"/>
        <v>0.25635866789329437</v>
      </c>
      <c r="AC51">
        <f t="shared" si="59"/>
        <v>4.5343021112725486E-2</v>
      </c>
      <c r="AD51">
        <f t="shared" si="60"/>
        <v>0.65279443481961741</v>
      </c>
      <c r="AE51">
        <f t="shared" si="61"/>
        <v>0</v>
      </c>
      <c r="AF51">
        <f t="shared" si="62"/>
        <v>2.4432017674253553E-2</v>
      </c>
      <c r="AG51">
        <f t="shared" si="63"/>
        <v>0.29920885279672321</v>
      </c>
    </row>
    <row r="52" spans="1:33" x14ac:dyDescent="0.2">
      <c r="A52" t="s">
        <v>173</v>
      </c>
      <c r="B52">
        <v>2</v>
      </c>
      <c r="C52">
        <v>5</v>
      </c>
      <c r="D52">
        <v>55</v>
      </c>
      <c r="E52">
        <f t="shared" si="64"/>
        <v>9.0833333333333339</v>
      </c>
      <c r="F52">
        <v>647081317.76999998</v>
      </c>
      <c r="G52">
        <v>66414557.193000004</v>
      </c>
      <c r="I52">
        <v>108669337.421</v>
      </c>
      <c r="K52">
        <v>1688895881.1010001</v>
      </c>
      <c r="O52">
        <v>67336637.688999996</v>
      </c>
      <c r="P52">
        <v>5561161.2989999996</v>
      </c>
      <c r="R52">
        <v>50627412.439999998</v>
      </c>
      <c r="S52">
        <v>2825260.6669999999</v>
      </c>
      <c r="U52">
        <v>25118785.704</v>
      </c>
      <c r="W52">
        <v>7378897.1380000003</v>
      </c>
      <c r="Y52">
        <f t="shared" si="57"/>
        <v>2669909248.4219999</v>
      </c>
      <c r="AB52">
        <f t="shared" si="58"/>
        <v>0.26723600264117531</v>
      </c>
      <c r="AC52">
        <f t="shared" si="59"/>
        <v>4.0701509792974044E-2</v>
      </c>
      <c r="AD52">
        <f t="shared" si="60"/>
        <v>0.64197487904056527</v>
      </c>
      <c r="AE52">
        <f t="shared" si="61"/>
        <v>0</v>
      </c>
      <c r="AF52">
        <f t="shared" si="62"/>
        <v>2.7303474464941038E-2</v>
      </c>
      <c r="AG52">
        <f t="shared" si="63"/>
        <v>0.31455988534231094</v>
      </c>
    </row>
    <row r="53" spans="1:33" x14ac:dyDescent="0.2">
      <c r="A53" t="s">
        <v>174</v>
      </c>
      <c r="B53">
        <v>2</v>
      </c>
      <c r="C53">
        <v>6</v>
      </c>
      <c r="D53">
        <v>32</v>
      </c>
      <c r="E53">
        <f t="shared" si="64"/>
        <v>9.6999999999999993</v>
      </c>
      <c r="F53">
        <v>699342027.96599996</v>
      </c>
      <c r="G53">
        <v>70415604.008000001</v>
      </c>
      <c r="I53">
        <v>97216923.611000001</v>
      </c>
      <c r="K53">
        <v>1690078899.247</v>
      </c>
      <c r="O53">
        <v>72879143.976999998</v>
      </c>
      <c r="P53">
        <v>6293208.8660000004</v>
      </c>
      <c r="R53">
        <v>57856120.211000003</v>
      </c>
      <c r="S53">
        <v>3117110.1340000001</v>
      </c>
      <c r="U53">
        <v>29482221.918000001</v>
      </c>
      <c r="W53">
        <v>7449947.6050000004</v>
      </c>
      <c r="Y53">
        <f t="shared" si="57"/>
        <v>2734131207.5430002</v>
      </c>
      <c r="AB53">
        <f t="shared" si="58"/>
        <v>0.28153646388672582</v>
      </c>
      <c r="AC53">
        <f t="shared" si="59"/>
        <v>3.5556787963501951E-2</v>
      </c>
      <c r="AD53">
        <f t="shared" si="60"/>
        <v>0.6289241410291595</v>
      </c>
      <c r="AE53">
        <f t="shared" si="61"/>
        <v>0</v>
      </c>
      <c r="AF53">
        <f t="shared" si="62"/>
        <v>2.8957042231395853E-2</v>
      </c>
      <c r="AG53">
        <f t="shared" si="63"/>
        <v>0.33279427580202903</v>
      </c>
    </row>
    <row r="54" spans="1:33" x14ac:dyDescent="0.2">
      <c r="A54" t="s">
        <v>175</v>
      </c>
      <c r="B54">
        <v>2</v>
      </c>
      <c r="C54">
        <v>7</v>
      </c>
      <c r="D54">
        <v>8</v>
      </c>
      <c r="E54">
        <f t="shared" si="64"/>
        <v>10.3</v>
      </c>
      <c r="F54">
        <v>736696037.80999994</v>
      </c>
      <c r="G54">
        <v>75156518.957000002</v>
      </c>
      <c r="I54">
        <v>86075762.340000004</v>
      </c>
      <c r="K54">
        <v>1628842122.0009999</v>
      </c>
      <c r="O54">
        <v>79046558.721000001</v>
      </c>
      <c r="P54">
        <v>7195763.4189999998</v>
      </c>
      <c r="R54">
        <v>65392425.424999997</v>
      </c>
      <c r="S54">
        <v>3547705.4709999999</v>
      </c>
      <c r="U54">
        <v>32992850.134</v>
      </c>
      <c r="W54">
        <v>7772372.4560000002</v>
      </c>
      <c r="Y54">
        <f t="shared" si="57"/>
        <v>2722718116.7340002</v>
      </c>
      <c r="AB54">
        <f t="shared" si="58"/>
        <v>0.29817723391095907</v>
      </c>
      <c r="AC54">
        <f t="shared" si="59"/>
        <v>3.1613908840203785E-2</v>
      </c>
      <c r="AD54">
        <f t="shared" si="60"/>
        <v>0.61035880355048711</v>
      </c>
      <c r="AE54">
        <f t="shared" si="61"/>
        <v>0</v>
      </c>
      <c r="AF54">
        <f t="shared" si="62"/>
        <v>3.1675082929058705E-2</v>
      </c>
      <c r="AG54">
        <f t="shared" si="63"/>
        <v>0.35517265039650658</v>
      </c>
    </row>
    <row r="55" spans="1:33" x14ac:dyDescent="0.2">
      <c r="A55" t="s">
        <v>176</v>
      </c>
      <c r="B55">
        <v>2</v>
      </c>
      <c r="C55">
        <v>7</v>
      </c>
      <c r="D55">
        <v>44</v>
      </c>
      <c r="E55">
        <f t="shared" si="64"/>
        <v>10.9</v>
      </c>
      <c r="F55">
        <v>781838360.63800001</v>
      </c>
      <c r="G55">
        <v>81911910.518000007</v>
      </c>
      <c r="I55">
        <v>79336967.471000001</v>
      </c>
      <c r="K55">
        <v>1620105032.3069999</v>
      </c>
      <c r="O55">
        <v>83382571.586999997</v>
      </c>
      <c r="P55">
        <v>7089894.5389999999</v>
      </c>
      <c r="R55">
        <v>70854981.862000003</v>
      </c>
      <c r="S55">
        <v>4031343.074</v>
      </c>
      <c r="U55">
        <v>38214029.847000003</v>
      </c>
      <c r="W55">
        <v>7667269.9680000003</v>
      </c>
      <c r="Y55">
        <f t="shared" si="57"/>
        <v>2774432361.8109999</v>
      </c>
      <c r="AB55">
        <f t="shared" si="58"/>
        <v>0.31132504185187287</v>
      </c>
      <c r="AC55">
        <f t="shared" si="59"/>
        <v>2.859574757094208E-2</v>
      </c>
      <c r="AD55">
        <f t="shared" si="60"/>
        <v>0.59771471994780889</v>
      </c>
      <c r="AE55">
        <f t="shared" si="61"/>
        <v>0</v>
      </c>
      <c r="AF55">
        <f t="shared" si="62"/>
        <v>3.2609360880920688E-2</v>
      </c>
      <c r="AG55">
        <f t="shared" si="63"/>
        <v>0.37092598701748603</v>
      </c>
    </row>
    <row r="56" spans="1:33" x14ac:dyDescent="0.2">
      <c r="A56" t="s">
        <v>177</v>
      </c>
      <c r="B56">
        <v>2</v>
      </c>
      <c r="C56">
        <v>8</v>
      </c>
      <c r="D56">
        <v>20</v>
      </c>
      <c r="E56">
        <f t="shared" si="64"/>
        <v>11.5</v>
      </c>
      <c r="F56">
        <v>809453462.046</v>
      </c>
      <c r="G56">
        <v>84546882.444999993</v>
      </c>
      <c r="I56">
        <v>70354248.430000007</v>
      </c>
      <c r="K56">
        <v>1570063890.852</v>
      </c>
      <c r="O56">
        <v>88612508.756999999</v>
      </c>
      <c r="P56">
        <v>7899636.8229999999</v>
      </c>
      <c r="R56">
        <v>76411783.883000001</v>
      </c>
      <c r="S56">
        <v>3986221.3169999998</v>
      </c>
      <c r="U56">
        <v>41886031.193999998</v>
      </c>
      <c r="W56">
        <v>7936643.8830000004</v>
      </c>
      <c r="Y56">
        <f t="shared" si="57"/>
        <v>2761151309.6299992</v>
      </c>
      <c r="AB56">
        <f t="shared" si="58"/>
        <v>0.32377810711532434</v>
      </c>
      <c r="AC56">
        <f t="shared" si="59"/>
        <v>2.5480040946914875E-2</v>
      </c>
      <c r="AD56">
        <f t="shared" si="60"/>
        <v>0.58379630135590255</v>
      </c>
      <c r="AE56">
        <f t="shared" si="61"/>
        <v>0</v>
      </c>
      <c r="AF56">
        <f t="shared" si="62"/>
        <v>3.4953588107756707E-2</v>
      </c>
      <c r="AG56">
        <f t="shared" si="63"/>
        <v>0.38784926111655377</v>
      </c>
    </row>
    <row r="57" spans="1:33" x14ac:dyDescent="0.2">
      <c r="A57" t="s">
        <v>178</v>
      </c>
      <c r="B57">
        <v>2</v>
      </c>
      <c r="C57">
        <v>8</v>
      </c>
      <c r="D57">
        <v>56</v>
      </c>
      <c r="E57">
        <f t="shared" si="64"/>
        <v>12.1</v>
      </c>
      <c r="F57">
        <v>841446731.74699998</v>
      </c>
      <c r="G57">
        <v>87778238.081</v>
      </c>
      <c r="I57">
        <v>60212013.25</v>
      </c>
      <c r="K57">
        <v>1482490043.71</v>
      </c>
      <c r="O57">
        <v>91231531.092999995</v>
      </c>
      <c r="P57">
        <v>8765790.9859999996</v>
      </c>
      <c r="R57">
        <v>83693761.020999998</v>
      </c>
      <c r="S57">
        <v>4391437.1469999999</v>
      </c>
      <c r="U57">
        <v>45877079.748999998</v>
      </c>
      <c r="W57">
        <v>7264751.7819999997</v>
      </c>
      <c r="Y57">
        <f t="shared" si="57"/>
        <v>2713151378.566</v>
      </c>
      <c r="AB57">
        <f t="shared" si="58"/>
        <v>0.34248917224778275</v>
      </c>
      <c r="AC57">
        <f t="shared" si="59"/>
        <v>2.2192647902242835E-2</v>
      </c>
      <c r="AD57">
        <f t="shared" si="60"/>
        <v>0.56331804245541151</v>
      </c>
      <c r="AE57">
        <f t="shared" si="61"/>
        <v>0</v>
      </c>
      <c r="AF57">
        <f t="shared" si="62"/>
        <v>3.6856521486041169E-2</v>
      </c>
      <c r="AG57">
        <f t="shared" si="63"/>
        <v>0.41181170313671844</v>
      </c>
    </row>
    <row r="58" spans="1:33" x14ac:dyDescent="0.2">
      <c r="A58" t="s">
        <v>179</v>
      </c>
      <c r="B58">
        <v>2</v>
      </c>
      <c r="C58">
        <v>12</v>
      </c>
      <c r="D58">
        <v>51</v>
      </c>
      <c r="E58">
        <f t="shared" si="64"/>
        <v>16.016666666666666</v>
      </c>
      <c r="F58">
        <v>998321597.91799998</v>
      </c>
      <c r="G58">
        <v>102357332.037</v>
      </c>
      <c r="I58">
        <v>28441903.675000001</v>
      </c>
      <c r="K58">
        <v>1155315440.1259999</v>
      </c>
      <c r="O58">
        <v>122212452.676</v>
      </c>
      <c r="P58">
        <v>10714102.987</v>
      </c>
      <c r="R58">
        <v>122360021.193</v>
      </c>
      <c r="S58">
        <v>5306983.46</v>
      </c>
      <c r="U58">
        <v>72197148.416999996</v>
      </c>
      <c r="W58">
        <v>6553016.5800000001</v>
      </c>
      <c r="Y58">
        <f t="shared" si="57"/>
        <v>2623779999.0689993</v>
      </c>
      <c r="AB58">
        <f t="shared" si="58"/>
        <v>0.41950122736874124</v>
      </c>
      <c r="AC58">
        <f t="shared" si="59"/>
        <v>1.084004896946089E-2</v>
      </c>
      <c r="AD58">
        <f t="shared" si="60"/>
        <v>0.46784127822399763</v>
      </c>
      <c r="AE58">
        <f t="shared" si="61"/>
        <v>0</v>
      </c>
      <c r="AF58">
        <f t="shared" si="62"/>
        <v>5.0662233765851779E-2</v>
      </c>
      <c r="AG58">
        <f t="shared" si="63"/>
        <v>0.51882112477190268</v>
      </c>
    </row>
    <row r="59" spans="1:33" x14ac:dyDescent="0.2">
      <c r="A59" t="s">
        <v>180</v>
      </c>
      <c r="B59">
        <v>2</v>
      </c>
      <c r="C59">
        <v>18</v>
      </c>
      <c r="D59">
        <v>53</v>
      </c>
      <c r="E59">
        <f t="shared" si="64"/>
        <v>22.05</v>
      </c>
      <c r="F59">
        <v>1270647626.0580001</v>
      </c>
      <c r="G59">
        <v>132528116.081</v>
      </c>
      <c r="I59">
        <v>7667931.0860000001</v>
      </c>
      <c r="K59">
        <v>815926248.403</v>
      </c>
      <c r="O59">
        <v>158236845.55000001</v>
      </c>
      <c r="P59">
        <v>14795768.197000001</v>
      </c>
      <c r="R59">
        <v>214444663.303</v>
      </c>
      <c r="S59">
        <v>8116394.1160000004</v>
      </c>
      <c r="U59">
        <v>120278630.346</v>
      </c>
      <c r="W59">
        <v>5914670.9550000001</v>
      </c>
      <c r="Y59">
        <f t="shared" si="57"/>
        <v>2748556894.0950007</v>
      </c>
      <c r="AB59">
        <f t="shared" si="58"/>
        <v>0.51051362449639759</v>
      </c>
      <c r="AC59">
        <f t="shared" si="59"/>
        <v>2.7898025696589299E-3</v>
      </c>
      <c r="AD59">
        <f t="shared" si="60"/>
        <v>0.34061688181181271</v>
      </c>
      <c r="AE59">
        <f t="shared" si="61"/>
        <v>0</v>
      </c>
      <c r="AF59">
        <f t="shared" si="62"/>
        <v>6.2953986551540289E-2</v>
      </c>
      <c r="AG59">
        <f t="shared" si="63"/>
        <v>0.65444139692704772</v>
      </c>
    </row>
    <row r="60" spans="1:33" x14ac:dyDescent="0.2">
      <c r="A60" t="s">
        <v>181</v>
      </c>
      <c r="B60">
        <v>3</v>
      </c>
      <c r="C60">
        <v>9</v>
      </c>
      <c r="D60">
        <v>23</v>
      </c>
      <c r="E60">
        <f t="shared" si="64"/>
        <v>36.549999999999997</v>
      </c>
      <c r="F60">
        <v>1497612186.895</v>
      </c>
      <c r="G60">
        <v>162479903.31400001</v>
      </c>
      <c r="I60">
        <v>385871.299</v>
      </c>
      <c r="K60">
        <v>302002642.89499998</v>
      </c>
      <c r="O60">
        <v>196326550.021</v>
      </c>
      <c r="P60">
        <v>20335083.884</v>
      </c>
      <c r="R60">
        <v>452560115.403</v>
      </c>
      <c r="S60">
        <v>20421199.982000001</v>
      </c>
      <c r="U60">
        <v>217815810.56200001</v>
      </c>
      <c r="W60">
        <v>3828004.747</v>
      </c>
      <c r="Y60">
        <f t="shared" si="57"/>
        <v>2873767369.0019999</v>
      </c>
      <c r="AB60">
        <f t="shared" si="58"/>
        <v>0.5776710070953015</v>
      </c>
      <c r="AC60">
        <f t="shared" si="59"/>
        <v>1.342736726577855E-4</v>
      </c>
      <c r="AD60">
        <f t="shared" si="60"/>
        <v>0.18088397100754966</v>
      </c>
      <c r="AE60">
        <f t="shared" si="61"/>
        <v>0</v>
      </c>
      <c r="AF60">
        <f t="shared" si="62"/>
        <v>7.5392892355181179E-2</v>
      </c>
      <c r="AG60">
        <f t="shared" si="63"/>
        <v>0.81764970430261896</v>
      </c>
    </row>
    <row r="61" spans="1:33" x14ac:dyDescent="0.2">
      <c r="A61" t="s">
        <v>182</v>
      </c>
      <c r="B61">
        <v>3</v>
      </c>
      <c r="C61">
        <v>13</v>
      </c>
      <c r="D61">
        <v>16</v>
      </c>
      <c r="E61">
        <f t="shared" si="64"/>
        <v>40.43333333333333</v>
      </c>
      <c r="F61">
        <v>1531538355.678</v>
      </c>
      <c r="G61">
        <v>160640294.93700001</v>
      </c>
      <c r="K61">
        <v>230483047.00400001</v>
      </c>
      <c r="O61">
        <v>209721201.44299999</v>
      </c>
      <c r="P61">
        <v>18834669.765999999</v>
      </c>
      <c r="R61">
        <v>531800919.03100002</v>
      </c>
      <c r="S61">
        <v>23600574.401000001</v>
      </c>
      <c r="U61">
        <v>233415797.15400001</v>
      </c>
      <c r="W61">
        <v>3381089.4180000001</v>
      </c>
      <c r="Y61">
        <f t="shared" si="57"/>
        <v>2943415948.8320003</v>
      </c>
      <c r="AB61">
        <f t="shared" si="58"/>
        <v>0.57490299707266534</v>
      </c>
      <c r="AC61">
        <f t="shared" si="59"/>
        <v>0</v>
      </c>
      <c r="AD61">
        <f t="shared" si="60"/>
        <v>0.15760560254560124</v>
      </c>
      <c r="AE61">
        <f t="shared" si="61"/>
        <v>0</v>
      </c>
      <c r="AF61">
        <f t="shared" si="62"/>
        <v>7.764987184352759E-2</v>
      </c>
      <c r="AG61">
        <f t="shared" si="63"/>
        <v>0.84124570169519353</v>
      </c>
    </row>
    <row r="62" spans="1:33" x14ac:dyDescent="0.2">
      <c r="A62" t="s">
        <v>183</v>
      </c>
      <c r="B62">
        <v>3</v>
      </c>
      <c r="C62">
        <v>19</v>
      </c>
      <c r="D62">
        <v>18</v>
      </c>
      <c r="E62">
        <f t="shared" si="64"/>
        <v>46.466666666666669</v>
      </c>
      <c r="F62">
        <v>1460021510.346</v>
      </c>
      <c r="G62">
        <v>157895036.39700001</v>
      </c>
      <c r="K62">
        <v>143686444.285</v>
      </c>
      <c r="O62">
        <v>204100485.79699999</v>
      </c>
      <c r="P62">
        <v>19165394.127999999</v>
      </c>
      <c r="R62">
        <v>617440674.19500005</v>
      </c>
      <c r="S62">
        <v>29227672.919</v>
      </c>
      <c r="U62">
        <v>251839646.78999999</v>
      </c>
      <c r="W62">
        <v>2549541.8080000002</v>
      </c>
      <c r="Y62">
        <f t="shared" si="57"/>
        <v>2885926406.6650004</v>
      </c>
      <c r="AB62">
        <f t="shared" si="58"/>
        <v>0.56062294000513935</v>
      </c>
      <c r="AC62">
        <f t="shared" si="59"/>
        <v>0</v>
      </c>
      <c r="AD62">
        <f t="shared" si="60"/>
        <v>0.13705342248559729</v>
      </c>
      <c r="AE62">
        <f t="shared" si="61"/>
        <v>0</v>
      </c>
      <c r="AF62">
        <f t="shared" si="62"/>
        <v>7.7363677538474659E-2</v>
      </c>
      <c r="AG62">
        <f t="shared" si="63"/>
        <v>0.86206313786669986</v>
      </c>
    </row>
    <row r="63" spans="1:33" x14ac:dyDescent="0.2">
      <c r="A63" t="s">
        <v>184</v>
      </c>
      <c r="B63">
        <v>4</v>
      </c>
      <c r="C63">
        <v>9</v>
      </c>
      <c r="D63">
        <v>30</v>
      </c>
      <c r="E63">
        <f t="shared" si="64"/>
        <v>60.666666666666664</v>
      </c>
      <c r="F63">
        <v>1272107756.2309999</v>
      </c>
      <c r="G63">
        <v>140567750.31099999</v>
      </c>
      <c r="K63">
        <v>50876033.272</v>
      </c>
      <c r="O63">
        <v>191567744.29699999</v>
      </c>
      <c r="P63">
        <v>18704221.390000001</v>
      </c>
      <c r="R63">
        <v>783524965.55999994</v>
      </c>
      <c r="S63">
        <v>48919950.895999998</v>
      </c>
      <c r="U63">
        <v>268683989.10600001</v>
      </c>
      <c r="W63">
        <v>1588530.713</v>
      </c>
      <c r="Y63">
        <f t="shared" si="57"/>
        <v>2776540941.7759995</v>
      </c>
      <c r="AB63">
        <f t="shared" si="58"/>
        <v>0.50878972655753074</v>
      </c>
      <c r="AC63">
        <f t="shared" si="59"/>
        <v>0</v>
      </c>
      <c r="AD63">
        <f t="shared" si="60"/>
        <v>0.11509285441099787</v>
      </c>
      <c r="AE63">
        <f t="shared" si="61"/>
        <v>0</v>
      </c>
      <c r="AF63">
        <f t="shared" si="62"/>
        <v>7.5731627984747321E-2</v>
      </c>
      <c r="AG63">
        <f t="shared" si="63"/>
        <v>0.88433501978703799</v>
      </c>
    </row>
    <row r="64" spans="1:33" x14ac:dyDescent="0.2">
      <c r="A64" t="s">
        <v>185</v>
      </c>
      <c r="B64">
        <v>4</v>
      </c>
      <c r="C64">
        <v>23</v>
      </c>
      <c r="D64">
        <v>47</v>
      </c>
      <c r="E64">
        <f t="shared" si="64"/>
        <v>74.95</v>
      </c>
      <c r="F64">
        <v>442308253.55599999</v>
      </c>
      <c r="G64">
        <v>96536408.672000006</v>
      </c>
      <c r="K64">
        <v>7252799.8669999996</v>
      </c>
      <c r="O64">
        <v>89538404.136999995</v>
      </c>
      <c r="P64">
        <v>21272295.791999999</v>
      </c>
      <c r="R64">
        <v>384659188.77399999</v>
      </c>
      <c r="S64">
        <v>34036991.494999997</v>
      </c>
      <c r="U64">
        <v>99755322.033000007</v>
      </c>
    </row>
    <row r="81" spans="1:48" x14ac:dyDescent="0.2">
      <c r="B81">
        <v>3</v>
      </c>
      <c r="Y81">
        <f t="shared" ref="Y81:Y84" si="65">SUM(F81,G81,I81,K81,M81,O81,P81,R81,S81,U81,W81)</f>
        <v>0</v>
      </c>
      <c r="AB81" t="e">
        <f t="shared" ref="AB81:AB83" si="66">(F81+G81)/Y81</f>
        <v>#DIV/0!</v>
      </c>
      <c r="AC81" t="e">
        <f t="shared" ref="AC81:AC83" si="67">I81/Y81</f>
        <v>#DIV/0!</v>
      </c>
      <c r="AD81" t="e">
        <f t="shared" si="16"/>
        <v>#DIV/0!</v>
      </c>
      <c r="AE81" t="e">
        <f t="shared" ref="AE81:AE83" si="68">M81/Y81</f>
        <v>#DIV/0!</v>
      </c>
      <c r="AF81" t="e">
        <f t="shared" ref="AF81:AF82" si="69">SUM(O81:P81)/Y81</f>
        <v>#DIV/0!</v>
      </c>
      <c r="AG81" t="e">
        <f t="shared" ref="AG81:AG83" si="70">AB81+AF81+SUM(R81:S81)/Y81</f>
        <v>#DIV/0!</v>
      </c>
      <c r="AJ81" t="e">
        <f t="shared" ref="AJ81:AJ84" si="71">W81/Y81</f>
        <v>#DIV/0!</v>
      </c>
    </row>
    <row r="82" spans="1:48" x14ac:dyDescent="0.2">
      <c r="B82">
        <v>4</v>
      </c>
      <c r="Y82">
        <f t="shared" si="65"/>
        <v>0</v>
      </c>
      <c r="AB82" t="e">
        <f t="shared" si="66"/>
        <v>#DIV/0!</v>
      </c>
      <c r="AC82" t="e">
        <f t="shared" si="67"/>
        <v>#DIV/0!</v>
      </c>
      <c r="AD82" t="e">
        <f t="shared" si="16"/>
        <v>#DIV/0!</v>
      </c>
      <c r="AE82" t="e">
        <f t="shared" si="68"/>
        <v>#DIV/0!</v>
      </c>
      <c r="AF82" t="e">
        <f t="shared" si="69"/>
        <v>#DIV/0!</v>
      </c>
      <c r="AG82" t="e">
        <f t="shared" si="70"/>
        <v>#DIV/0!</v>
      </c>
      <c r="AJ82" t="e">
        <f t="shared" si="71"/>
        <v>#DIV/0!</v>
      </c>
    </row>
    <row r="83" spans="1:48" x14ac:dyDescent="0.2">
      <c r="B83">
        <v>4</v>
      </c>
      <c r="Y83">
        <f t="shared" si="65"/>
        <v>0</v>
      </c>
      <c r="AB83" t="e">
        <f t="shared" si="66"/>
        <v>#DIV/0!</v>
      </c>
      <c r="AC83" t="e">
        <f t="shared" si="67"/>
        <v>#DIV/0!</v>
      </c>
      <c r="AD83" t="e">
        <f t="shared" si="16"/>
        <v>#DIV/0!</v>
      </c>
      <c r="AE83" t="e">
        <f t="shared" si="68"/>
        <v>#DIV/0!</v>
      </c>
      <c r="AF83" t="e">
        <f>SUM(O83:P83)/Y83</f>
        <v>#DIV/0!</v>
      </c>
      <c r="AG83" t="e">
        <f t="shared" si="70"/>
        <v>#DIV/0!</v>
      </c>
      <c r="AJ83" t="e">
        <f t="shared" si="71"/>
        <v>#DIV/0!</v>
      </c>
    </row>
    <row r="84" spans="1:48" x14ac:dyDescent="0.2">
      <c r="B84">
        <v>6</v>
      </c>
      <c r="Y84">
        <f t="shared" si="65"/>
        <v>0</v>
      </c>
      <c r="AB84" t="e">
        <f t="shared" ref="AB84" si="72">(F84+G84)/Y84</f>
        <v>#DIV/0!</v>
      </c>
      <c r="AC84" t="e">
        <f t="shared" ref="AC84" si="73">I84/Y84</f>
        <v>#DIV/0!</v>
      </c>
      <c r="AD84" t="e">
        <f t="shared" si="16"/>
        <v>#DIV/0!</v>
      </c>
      <c r="AE84" t="e">
        <f t="shared" ref="AE84" si="74">M84/Y84</f>
        <v>#DIV/0!</v>
      </c>
      <c r="AF84" t="e">
        <f t="shared" ref="AF84" si="75">SUM(O84:P84)/Y84</f>
        <v>#DIV/0!</v>
      </c>
      <c r="AG84" t="e">
        <f t="shared" ref="AG84" si="76">AB84+AF84+SUM(R84:S84)/Y84</f>
        <v>#DIV/0!</v>
      </c>
      <c r="AJ84" t="e">
        <f t="shared" si="71"/>
        <v>#DIV/0!</v>
      </c>
    </row>
    <row r="86" spans="1:48" x14ac:dyDescent="0.2">
      <c r="B86" t="s">
        <v>14</v>
      </c>
      <c r="C86" t="s">
        <v>15</v>
      </c>
      <c r="D86" t="s">
        <v>16</v>
      </c>
      <c r="E86" t="s">
        <v>10</v>
      </c>
      <c r="F86" s="1">
        <v>2.74</v>
      </c>
      <c r="G86" s="1">
        <v>2.64</v>
      </c>
      <c r="H86" s="1">
        <v>3.12</v>
      </c>
      <c r="I86" s="1">
        <v>68877.903999999995</v>
      </c>
      <c r="J86" s="1">
        <v>2.4900000000000002</v>
      </c>
      <c r="K86" s="1">
        <v>7677.3819999999996</v>
      </c>
      <c r="L86" s="1">
        <v>1.5</v>
      </c>
      <c r="M86" s="1">
        <v>793.3</v>
      </c>
      <c r="O86" s="1">
        <v>399.87869999999998</v>
      </c>
      <c r="P86" s="1">
        <v>599.30340000000001</v>
      </c>
      <c r="R86" s="1">
        <v>409.54649999999998</v>
      </c>
      <c r="S86" s="1">
        <v>614.30830000000003</v>
      </c>
      <c r="U86" s="1">
        <v>628.28800000000001</v>
      </c>
      <c r="W86" s="1">
        <v>684.31370000000004</v>
      </c>
      <c r="Y86" t="s">
        <v>0</v>
      </c>
      <c r="AB86" t="s">
        <v>1</v>
      </c>
      <c r="AC86" t="s">
        <v>2</v>
      </c>
      <c r="AD86" t="s">
        <v>3</v>
      </c>
      <c r="AE86" t="s">
        <v>4</v>
      </c>
      <c r="AF86" t="s">
        <v>7</v>
      </c>
      <c r="AG86" t="s">
        <v>8</v>
      </c>
      <c r="AJ86">
        <v>684</v>
      </c>
      <c r="AM86" t="s">
        <v>25</v>
      </c>
      <c r="AN86" t="s">
        <v>20</v>
      </c>
      <c r="AO86" t="s">
        <v>21</v>
      </c>
      <c r="AP86" t="s">
        <v>22</v>
      </c>
      <c r="AQ86" t="s">
        <v>2</v>
      </c>
      <c r="AR86" t="s">
        <v>22</v>
      </c>
      <c r="AS86" t="s">
        <v>23</v>
      </c>
      <c r="AT86" t="s">
        <v>22</v>
      </c>
      <c r="AU86" t="s">
        <v>24</v>
      </c>
      <c r="AV86" t="s">
        <v>22</v>
      </c>
    </row>
    <row r="87" spans="1:48" x14ac:dyDescent="0.2">
      <c r="B87">
        <v>1</v>
      </c>
      <c r="C87">
        <v>19</v>
      </c>
      <c r="D87">
        <v>29</v>
      </c>
      <c r="E87">
        <v>0</v>
      </c>
      <c r="AC87">
        <v>0</v>
      </c>
      <c r="AD87">
        <v>0</v>
      </c>
      <c r="AE87">
        <v>0</v>
      </c>
      <c r="AG87">
        <v>1</v>
      </c>
      <c r="AN87">
        <f>AVERAGE(E87,E120)</f>
        <v>3.3166666666666669</v>
      </c>
      <c r="AO87">
        <f>AVERAGE(AG87,AG121)</f>
        <v>0.83465203651780961</v>
      </c>
      <c r="AP87">
        <f>_xlfn.STDEV.P(AG87,AG120)</f>
        <v>0.17266618286655255</v>
      </c>
      <c r="AQ87">
        <f>AVERAGE(AC87,AC120)</f>
        <v>2.6371370866008669E-2</v>
      </c>
      <c r="AR87">
        <f>_xlfn.STDEV.P(AC87,AC120)</f>
        <v>2.6371370866008669E-2</v>
      </c>
      <c r="AS87">
        <f>AVERAGE(AD87,AD120)</f>
        <v>0.1454444504360364</v>
      </c>
      <c r="AT87">
        <f>_xlfn.STDEV.P(AD87,AD120)</f>
        <v>0.1454444504360364</v>
      </c>
      <c r="AU87">
        <f>AVERAGE(AE87,AE120)</f>
        <v>0</v>
      </c>
      <c r="AV87">
        <f>STDEV(AE87,AE120)</f>
        <v>0</v>
      </c>
    </row>
    <row r="88" spans="1:48" x14ac:dyDescent="0.2">
      <c r="A88" t="s">
        <v>26</v>
      </c>
      <c r="B88">
        <v>1</v>
      </c>
      <c r="C88">
        <v>19</v>
      </c>
      <c r="D88">
        <v>32</v>
      </c>
      <c r="E88">
        <f>(B88-$B$87)*24+(C88-$C$87)+(D88-$D$87)/60</f>
        <v>0.05</v>
      </c>
      <c r="F88">
        <v>4184912251.5900002</v>
      </c>
      <c r="G88">
        <v>266353993.43000001</v>
      </c>
      <c r="I88">
        <v>6666767.3540000003</v>
      </c>
      <c r="K88">
        <v>265026.89600000001</v>
      </c>
      <c r="O88">
        <v>82679378.383000001</v>
      </c>
      <c r="P88">
        <v>4189427.9580000001</v>
      </c>
      <c r="R88">
        <v>6623349.7920000004</v>
      </c>
      <c r="Y88">
        <f>SUM(F88,G88,I88,K88,M88,O88,P88,R88,S88,U88,W88)</f>
        <v>4551690195.4030008</v>
      </c>
      <c r="AB88">
        <f>(F88+G88)/Y88</f>
        <v>0.9779369978904926</v>
      </c>
      <c r="AC88">
        <f>I88/Y88</f>
        <v>1.4646795075669101E-3</v>
      </c>
      <c r="AD88">
        <f>(K88+U88)/Y88</f>
        <v>5.822604013508324E-5</v>
      </c>
      <c r="AE88">
        <f t="shared" ref="AE88:AE103" si="77">M88/Y88</f>
        <v>0</v>
      </c>
      <c r="AF88">
        <f t="shared" ref="AF88:AF103" si="78">SUM(O88:P88)/Y88</f>
        <v>1.9084955832172745E-2</v>
      </c>
      <c r="AG88">
        <f t="shared" ref="AG88:AG103" si="79">AB88+AF88+SUM(R88:S88)/Y88</f>
        <v>0.99847709445229782</v>
      </c>
      <c r="AJ88">
        <f t="shared" ref="AJ88" si="80">W88/Y88</f>
        <v>0</v>
      </c>
      <c r="AN88">
        <f>AVERAGE(E88,E121)</f>
        <v>3.6416666666666666</v>
      </c>
      <c r="AO88">
        <f>AVERAGE(AG88,AG122)</f>
        <v>0.83424939819160693</v>
      </c>
      <c r="AP88">
        <f>_xlfn.STDEV.P(AG88,AG121)</f>
        <v>0.16458651070833935</v>
      </c>
      <c r="AQ88">
        <f>AVERAGE(AC88,AC121)</f>
        <v>2.1999207246136809E-2</v>
      </c>
      <c r="AR88">
        <f>_xlfn.STDEV.P(AC88,AC121)</f>
        <v>2.0534527738569903E-2</v>
      </c>
      <c r="AS88">
        <f>AVERAGE(AD88,AD121)</f>
        <v>0.14320223701463658</v>
      </c>
      <c r="AT88">
        <f>_xlfn.STDEV.P(AD88,AD121)</f>
        <v>0.14314401097450152</v>
      </c>
      <c r="AU88">
        <f>AVERAGE(AE88,AE121)</f>
        <v>0</v>
      </c>
      <c r="AV88">
        <f>STDEV(AE88,AE121)</f>
        <v>0</v>
      </c>
    </row>
    <row r="89" spans="1:48" x14ac:dyDescent="0.2">
      <c r="A89" t="s">
        <v>27</v>
      </c>
      <c r="B89">
        <v>1</v>
      </c>
      <c r="C89">
        <v>20</v>
      </c>
      <c r="D89">
        <v>3</v>
      </c>
      <c r="E89">
        <f t="shared" ref="E89:E103" si="81">(B89-$B$87)*24+(C89-$C$87)+(D89-$D$87)/60</f>
        <v>0.56666666666666665</v>
      </c>
      <c r="F89">
        <v>4095510063.0630002</v>
      </c>
      <c r="G89">
        <v>268104222.873</v>
      </c>
      <c r="I89">
        <v>63963397.799000002</v>
      </c>
      <c r="K89">
        <v>11735004.754000001</v>
      </c>
      <c r="O89">
        <v>175051085.53</v>
      </c>
      <c r="P89">
        <v>10776066.802999999</v>
      </c>
      <c r="R89">
        <v>10884778.596000001</v>
      </c>
      <c r="Y89">
        <f t="shared" ref="Y89:Y103" si="82">SUM(F89,G89,I89,K89,M89,O89,P89,R89,S89,U89,W89)</f>
        <v>4636024619.4179993</v>
      </c>
      <c r="AB89">
        <f t="shared" ref="AB89:AB103" si="83">(F89+G89)/Y89</f>
        <v>0.94124053346459635</v>
      </c>
      <c r="AC89">
        <f t="shared" ref="AC89:AC103" si="84">I89/Y89</f>
        <v>1.3797035833478789E-2</v>
      </c>
      <c r="AD89">
        <f t="shared" ref="AD89:AD103" si="85">(K89+U89)/Y89</f>
        <v>2.5312645461044161E-3</v>
      </c>
      <c r="AE89">
        <f t="shared" si="77"/>
        <v>0</v>
      </c>
      <c r="AF89">
        <f t="shared" si="78"/>
        <v>4.0083297132345368E-2</v>
      </c>
      <c r="AG89">
        <f t="shared" si="79"/>
        <v>0.9836716996204169</v>
      </c>
      <c r="AJ89">
        <f t="shared" ref="AJ89:AJ103" si="86">W89/Y89</f>
        <v>0</v>
      </c>
      <c r="AN89">
        <f>AVERAGE(E89,E122)</f>
        <v>4.2</v>
      </c>
      <c r="AO89">
        <f>AVERAGE(AG89,AG123)</f>
        <v>0.83115034158498546</v>
      </c>
      <c r="AP89">
        <f>_xlfn.STDEV.P(AG89,AG122)</f>
        <v>0.15682499884475043</v>
      </c>
      <c r="AQ89">
        <f>AVERAGE(AC89,AC122)</f>
        <v>2.4980334178534291E-2</v>
      </c>
      <c r="AR89">
        <f>_xlfn.STDEV.P(AC89,AC122)</f>
        <v>1.1183298345055492E-2</v>
      </c>
      <c r="AS89">
        <f>AVERAGE(AD89,AD122)</f>
        <v>0.14712149088786036</v>
      </c>
      <c r="AT89">
        <f>_xlfn.STDEV.P(AD89,AD122)</f>
        <v>0.14459022634175595</v>
      </c>
      <c r="AU89">
        <f>AVERAGE(AE89,AE122)</f>
        <v>0</v>
      </c>
      <c r="AV89">
        <f>STDEV(AE89,AE122)</f>
        <v>0</v>
      </c>
    </row>
    <row r="90" spans="1:48" x14ac:dyDescent="0.2">
      <c r="A90" t="s">
        <v>28</v>
      </c>
      <c r="B90">
        <v>1</v>
      </c>
      <c r="C90">
        <v>20</v>
      </c>
      <c r="D90">
        <v>39</v>
      </c>
      <c r="E90">
        <f t="shared" si="81"/>
        <v>1.1666666666666667</v>
      </c>
      <c r="F90">
        <v>4109264936.8470001</v>
      </c>
      <c r="G90">
        <v>280103302.19</v>
      </c>
      <c r="I90">
        <v>72800380.541999996</v>
      </c>
      <c r="K90">
        <v>26006027.776000001</v>
      </c>
      <c r="O90">
        <v>212364887.79499999</v>
      </c>
      <c r="P90">
        <v>14065275.762</v>
      </c>
      <c r="R90">
        <v>18805540.449999999</v>
      </c>
      <c r="Y90">
        <f t="shared" si="82"/>
        <v>4733410351.3619995</v>
      </c>
      <c r="AB90">
        <f t="shared" si="83"/>
        <v>0.92731622935966151</v>
      </c>
      <c r="AC90">
        <f t="shared" si="84"/>
        <v>1.5380111830163275E-2</v>
      </c>
      <c r="AD90">
        <f t="shared" si="85"/>
        <v>5.4941418228227311E-3</v>
      </c>
      <c r="AE90">
        <f t="shared" si="77"/>
        <v>0</v>
      </c>
      <c r="AF90">
        <f t="shared" si="78"/>
        <v>4.7836580129133867E-2</v>
      </c>
      <c r="AG90">
        <f t="shared" si="79"/>
        <v>0.97912574634701399</v>
      </c>
      <c r="AJ90">
        <f t="shared" si="86"/>
        <v>0</v>
      </c>
      <c r="AN90">
        <f>AVERAGE(E90,E123)</f>
        <v>5.0249999999999995</v>
      </c>
      <c r="AO90">
        <f>AVERAGE(AG90,AG124)</f>
        <v>0.8305943252219532</v>
      </c>
      <c r="AP90">
        <f>_xlfn.STDEV.P(AG90,AG123)</f>
        <v>0.15024838139872959</v>
      </c>
      <c r="AQ90">
        <f>AVERAGE(AC90,AC123)</f>
        <v>2.1295880558312014E-2</v>
      </c>
      <c r="AR90">
        <f>_xlfn.STDEV.P(AC90,AC123)</f>
        <v>5.9157687281487289E-3</v>
      </c>
      <c r="AS90">
        <f>AVERAGE(AD90,AD123)</f>
        <v>0.1485437509600506</v>
      </c>
      <c r="AT90">
        <f>_xlfn.STDEV.P(AD90,AD123)</f>
        <v>0.14304960913722789</v>
      </c>
      <c r="AU90">
        <f>AVERAGE(AE90,AE123)</f>
        <v>0</v>
      </c>
      <c r="AV90">
        <f>STDEV(AE90,AE123)</f>
        <v>0</v>
      </c>
    </row>
    <row r="91" spans="1:48" x14ac:dyDescent="0.2">
      <c r="A91" t="s">
        <v>29</v>
      </c>
      <c r="B91">
        <v>1</v>
      </c>
      <c r="C91">
        <v>21</v>
      </c>
      <c r="D91">
        <v>16</v>
      </c>
      <c r="E91">
        <f t="shared" si="81"/>
        <v>1.7833333333333332</v>
      </c>
      <c r="F91">
        <v>4063669017.9860001</v>
      </c>
      <c r="G91">
        <v>261432243.59299999</v>
      </c>
      <c r="I91">
        <v>59731680.347999997</v>
      </c>
      <c r="K91">
        <v>36833615.321000002</v>
      </c>
      <c r="O91">
        <v>254635944.361</v>
      </c>
      <c r="P91">
        <v>16413792.549000001</v>
      </c>
      <c r="R91">
        <v>24169798.114999998</v>
      </c>
      <c r="S91">
        <v>869144.304</v>
      </c>
      <c r="Y91">
        <f t="shared" si="82"/>
        <v>4717755236.5769997</v>
      </c>
      <c r="AB91">
        <f t="shared" ref="AB91:AB101" si="87">(F91+G91)/Y91</f>
        <v>0.91677101602182909</v>
      </c>
      <c r="AC91">
        <f t="shared" ref="AC91:AC101" si="88">I91/Y91</f>
        <v>1.2661038428805548E-2</v>
      </c>
      <c r="AD91">
        <f t="shared" ref="AD91:AD101" si="89">(K91+U91)/Y91</f>
        <v>7.8074451670207649E-3</v>
      </c>
      <c r="AE91">
        <f t="shared" ref="AE91:AE101" si="90">M91/Y91</f>
        <v>0</v>
      </c>
      <c r="AF91">
        <f t="shared" ref="AF91:AF101" si="91">SUM(O91:P91)/Y91</f>
        <v>5.745311558525492E-2</v>
      </c>
      <c r="AG91">
        <f t="shared" ref="AG91:AG101" si="92">AB91+AF91+SUM(R91:S91)/Y91</f>
        <v>0.97953151640417391</v>
      </c>
    </row>
    <row r="92" spans="1:48" x14ac:dyDescent="0.2">
      <c r="A92" t="s">
        <v>30</v>
      </c>
      <c r="B92">
        <v>1</v>
      </c>
      <c r="C92">
        <v>21</v>
      </c>
      <c r="D92">
        <v>52</v>
      </c>
      <c r="E92">
        <f t="shared" si="81"/>
        <v>2.3833333333333333</v>
      </c>
      <c r="F92">
        <v>4002374357.131</v>
      </c>
      <c r="G92">
        <v>258851755.38800001</v>
      </c>
      <c r="I92">
        <v>54683995.586000003</v>
      </c>
      <c r="K92">
        <v>47827425.464000002</v>
      </c>
      <c r="O92">
        <v>266575707.54100001</v>
      </c>
      <c r="P92">
        <v>15271226.800000001</v>
      </c>
      <c r="R92">
        <v>29888498.929000001</v>
      </c>
      <c r="Y92">
        <f t="shared" si="82"/>
        <v>4675472966.8390007</v>
      </c>
      <c r="AB92">
        <f t="shared" si="87"/>
        <v>0.91140001081001543</v>
      </c>
      <c r="AC92">
        <f t="shared" si="88"/>
        <v>1.169592808553245E-2</v>
      </c>
      <c r="AD92">
        <f t="shared" si="89"/>
        <v>1.0229430434785558E-2</v>
      </c>
      <c r="AE92">
        <f t="shared" si="90"/>
        <v>0</v>
      </c>
      <c r="AF92">
        <f t="shared" si="91"/>
        <v>6.0282015603557525E-2</v>
      </c>
      <c r="AG92">
        <f t="shared" si="92"/>
        <v>0.97807464147968182</v>
      </c>
    </row>
    <row r="93" spans="1:48" x14ac:dyDescent="0.2">
      <c r="A93" t="s">
        <v>31</v>
      </c>
      <c r="B93">
        <v>1</v>
      </c>
      <c r="C93">
        <v>22</v>
      </c>
      <c r="D93">
        <v>29</v>
      </c>
      <c r="E93">
        <f t="shared" si="81"/>
        <v>3</v>
      </c>
      <c r="F93">
        <v>4088295714.8260002</v>
      </c>
      <c r="G93">
        <v>269339872.16600001</v>
      </c>
      <c r="I93">
        <v>47085910.530000001</v>
      </c>
      <c r="K93">
        <v>57741571.872000001</v>
      </c>
      <c r="O93">
        <v>294121350.68400002</v>
      </c>
      <c r="P93">
        <v>18985386.693999998</v>
      </c>
      <c r="R93">
        <v>37147814.964000002</v>
      </c>
      <c r="S93">
        <v>824601.70799999998</v>
      </c>
      <c r="Y93">
        <f t="shared" si="82"/>
        <v>4813542223.4440002</v>
      </c>
      <c r="AB93">
        <f t="shared" si="87"/>
        <v>0.9052866651441136</v>
      </c>
      <c r="AC93">
        <f t="shared" si="88"/>
        <v>9.7819668643751717E-3</v>
      </c>
      <c r="AD93">
        <f t="shared" si="89"/>
        <v>1.1995650851627303E-2</v>
      </c>
      <c r="AE93">
        <f t="shared" si="90"/>
        <v>0</v>
      </c>
      <c r="AF93">
        <f t="shared" si="91"/>
        <v>6.5047053260078799E-2</v>
      </c>
      <c r="AG93">
        <f t="shared" si="92"/>
        <v>0.9782223822839976</v>
      </c>
    </row>
    <row r="94" spans="1:48" x14ac:dyDescent="0.2">
      <c r="A94" t="s">
        <v>32</v>
      </c>
      <c r="B94">
        <v>1</v>
      </c>
      <c r="C94">
        <v>23</v>
      </c>
      <c r="D94">
        <v>5</v>
      </c>
      <c r="E94">
        <f t="shared" si="81"/>
        <v>3.6</v>
      </c>
      <c r="F94">
        <v>3958077865.408</v>
      </c>
      <c r="G94">
        <v>237704067.47299999</v>
      </c>
      <c r="I94">
        <v>36190693.685000002</v>
      </c>
      <c r="K94">
        <v>64675331.869000003</v>
      </c>
      <c r="O94">
        <v>305642975.13700002</v>
      </c>
      <c r="P94">
        <v>17674822.022</v>
      </c>
      <c r="R94">
        <v>46760196.840000004</v>
      </c>
      <c r="Y94">
        <f t="shared" si="82"/>
        <v>4666725952.434001</v>
      </c>
      <c r="AB94">
        <f>(F94+G94)/Y94</f>
        <v>0.89908470641877458</v>
      </c>
      <c r="AC94">
        <f t="shared" si="88"/>
        <v>7.7550501259076943E-3</v>
      </c>
      <c r="AD94">
        <f t="shared" si="89"/>
        <v>1.3858823622430114E-2</v>
      </c>
      <c r="AE94">
        <f t="shared" si="90"/>
        <v>0</v>
      </c>
      <c r="AF94">
        <f t="shared" si="91"/>
        <v>6.9281504946817965E-2</v>
      </c>
      <c r="AG94">
        <f t="shared" si="92"/>
        <v>0.97838612625166199</v>
      </c>
    </row>
    <row r="95" spans="1:48" x14ac:dyDescent="0.2">
      <c r="A95" t="s">
        <v>33</v>
      </c>
      <c r="B95">
        <v>1</v>
      </c>
      <c r="C95">
        <v>23</v>
      </c>
      <c r="D95">
        <v>41</v>
      </c>
      <c r="E95">
        <f t="shared" si="81"/>
        <v>4.2</v>
      </c>
      <c r="F95">
        <v>4046788404.0489998</v>
      </c>
      <c r="G95">
        <v>257030045.88800001</v>
      </c>
      <c r="I95">
        <v>31226560.138999999</v>
      </c>
      <c r="K95">
        <v>69321997.407000005</v>
      </c>
      <c r="O95">
        <v>317431938.66500002</v>
      </c>
      <c r="P95">
        <v>19287575.339000002</v>
      </c>
      <c r="R95">
        <v>53353775.348999999</v>
      </c>
      <c r="Y95">
        <f t="shared" si="82"/>
        <v>4794440296.8359995</v>
      </c>
      <c r="AB95">
        <f t="shared" si="87"/>
        <v>0.897668587671688</v>
      </c>
      <c r="AC95">
        <f t="shared" si="88"/>
        <v>6.5130772740266216E-3</v>
      </c>
      <c r="AD95">
        <f t="shared" si="89"/>
        <v>1.4458830043779614E-2</v>
      </c>
      <c r="AE95">
        <f t="shared" si="90"/>
        <v>0</v>
      </c>
      <c r="AF95">
        <f t="shared" si="91"/>
        <v>7.0231245600495165E-2</v>
      </c>
      <c r="AG95">
        <f t="shared" si="92"/>
        <v>0.97902809268219393</v>
      </c>
    </row>
    <row r="96" spans="1:48" x14ac:dyDescent="0.2">
      <c r="A96" t="s">
        <v>34</v>
      </c>
      <c r="B96">
        <v>2</v>
      </c>
      <c r="C96">
        <v>0</v>
      </c>
      <c r="D96">
        <v>18</v>
      </c>
      <c r="E96">
        <f t="shared" si="81"/>
        <v>4.8166666666666664</v>
      </c>
      <c r="F96">
        <v>3999804448.0419998</v>
      </c>
      <c r="G96">
        <v>258483646.315</v>
      </c>
      <c r="I96">
        <v>25323583.888</v>
      </c>
      <c r="K96">
        <v>72532791.746000007</v>
      </c>
      <c r="O96">
        <v>339418212.78299999</v>
      </c>
      <c r="P96">
        <v>21606445.602000002</v>
      </c>
      <c r="R96">
        <v>61828663.934</v>
      </c>
      <c r="S96">
        <v>144979.85</v>
      </c>
      <c r="W96">
        <v>137987.655</v>
      </c>
      <c r="Y96">
        <f t="shared" si="82"/>
        <v>4779280759.8150005</v>
      </c>
      <c r="AB96">
        <f t="shared" si="87"/>
        <v>0.89098931583208185</v>
      </c>
      <c r="AC96">
        <f t="shared" si="88"/>
        <v>5.2986181730366143E-3</v>
      </c>
      <c r="AD96">
        <f t="shared" si="89"/>
        <v>1.5176507803405894E-2</v>
      </c>
      <c r="AE96">
        <f t="shared" si="90"/>
        <v>0</v>
      </c>
      <c r="AF96">
        <f t="shared" si="91"/>
        <v>7.5539537543087287E-2</v>
      </c>
      <c r="AG96">
        <f t="shared" si="92"/>
        <v>0.97949600196896691</v>
      </c>
    </row>
    <row r="97" spans="1:48" x14ac:dyDescent="0.2">
      <c r="A97" t="s">
        <v>35</v>
      </c>
      <c r="B97">
        <v>2</v>
      </c>
      <c r="C97">
        <v>0</v>
      </c>
      <c r="D97">
        <v>54</v>
      </c>
      <c r="E97">
        <f t="shared" si="81"/>
        <v>5.416666666666667</v>
      </c>
      <c r="F97">
        <v>4078389141.9169998</v>
      </c>
      <c r="G97">
        <v>263868965.15700001</v>
      </c>
      <c r="I97">
        <v>22175255.384</v>
      </c>
      <c r="K97">
        <v>80136614.515000001</v>
      </c>
      <c r="O97">
        <v>359951712.78600001</v>
      </c>
      <c r="P97">
        <v>21987549.688999999</v>
      </c>
      <c r="R97">
        <v>70573850.541999996</v>
      </c>
      <c r="W97">
        <v>169570.87700000001</v>
      </c>
      <c r="Y97">
        <f t="shared" si="82"/>
        <v>4897252660.8669996</v>
      </c>
      <c r="AB97">
        <f t="shared" si="87"/>
        <v>0.88667226458870407</v>
      </c>
      <c r="AC97">
        <f t="shared" si="88"/>
        <v>4.5281011456072473E-3</v>
      </c>
      <c r="AD97">
        <f t="shared" si="89"/>
        <v>1.6363585884664723E-2</v>
      </c>
      <c r="AE97">
        <f t="shared" si="90"/>
        <v>0</v>
      </c>
      <c r="AF97">
        <f t="shared" si="91"/>
        <v>7.799051609630088E-2</v>
      </c>
      <c r="AG97">
        <f t="shared" si="92"/>
        <v>0.97907368725430288</v>
      </c>
    </row>
    <row r="98" spans="1:48" x14ac:dyDescent="0.2">
      <c r="A98" t="s">
        <v>36</v>
      </c>
      <c r="B98">
        <v>2</v>
      </c>
      <c r="C98">
        <v>1</v>
      </c>
      <c r="D98">
        <v>30</v>
      </c>
      <c r="E98">
        <f t="shared" si="81"/>
        <v>6.0166666666666666</v>
      </c>
      <c r="F98">
        <v>3930914455.6830001</v>
      </c>
      <c r="G98">
        <v>243660828.947</v>
      </c>
      <c r="I98">
        <v>18253699.195999999</v>
      </c>
      <c r="K98">
        <v>80209954.665999994</v>
      </c>
      <c r="O98">
        <v>359126145.74299997</v>
      </c>
      <c r="P98">
        <v>24165599.919</v>
      </c>
      <c r="R98">
        <v>73273927.344999999</v>
      </c>
      <c r="S98">
        <v>1277719.2590000001</v>
      </c>
      <c r="W98">
        <v>142968.889</v>
      </c>
      <c r="Y98">
        <f t="shared" si="82"/>
        <v>4731025299.6469994</v>
      </c>
      <c r="AB98">
        <f t="shared" si="87"/>
        <v>0.88238278601923392</v>
      </c>
      <c r="AC98">
        <f t="shared" si="88"/>
        <v>3.8582966777543927E-3</v>
      </c>
      <c r="AD98">
        <f t="shared" si="89"/>
        <v>1.6954032072494893E-2</v>
      </c>
      <c r="AE98">
        <f t="shared" si="90"/>
        <v>0</v>
      </c>
      <c r="AF98">
        <f t="shared" si="91"/>
        <v>8.1016634109016258E-2</v>
      </c>
      <c r="AG98">
        <f t="shared" si="92"/>
        <v>0.9791574518195123</v>
      </c>
    </row>
    <row r="99" spans="1:48" x14ac:dyDescent="0.2">
      <c r="A99" t="s">
        <v>37</v>
      </c>
      <c r="B99">
        <v>2</v>
      </c>
      <c r="C99">
        <v>2</v>
      </c>
      <c r="D99">
        <v>7</v>
      </c>
      <c r="E99">
        <f t="shared" si="81"/>
        <v>6.6333333333333337</v>
      </c>
      <c r="F99">
        <v>4078212992.6300001</v>
      </c>
      <c r="G99">
        <v>276612099.76800001</v>
      </c>
      <c r="I99">
        <v>15363049.416999999</v>
      </c>
      <c r="K99">
        <v>84343681.797000006</v>
      </c>
      <c r="O99">
        <v>397448380.82099998</v>
      </c>
      <c r="P99">
        <v>24748138.477000002</v>
      </c>
      <c r="R99">
        <v>88665846.357999995</v>
      </c>
      <c r="S99">
        <v>1847897.7320000001</v>
      </c>
      <c r="W99">
        <v>120141.51300000001</v>
      </c>
      <c r="Y99">
        <f t="shared" si="82"/>
        <v>4967362228.5129995</v>
      </c>
      <c r="AB99">
        <f t="shared" si="87"/>
        <v>0.87668764468212235</v>
      </c>
      <c r="AC99">
        <f t="shared" si="88"/>
        <v>3.0927982921831318E-3</v>
      </c>
      <c r="AD99">
        <f t="shared" si="89"/>
        <v>1.6979571433881246E-2</v>
      </c>
      <c r="AE99">
        <f t="shared" si="90"/>
        <v>0</v>
      </c>
      <c r="AF99">
        <f t="shared" si="91"/>
        <v>8.4994107511339317E-2</v>
      </c>
      <c r="AG99">
        <f t="shared" si="92"/>
        <v>0.97990344409473773</v>
      </c>
    </row>
    <row r="100" spans="1:48" x14ac:dyDescent="0.2">
      <c r="A100" t="s">
        <v>38</v>
      </c>
      <c r="B100">
        <v>2</v>
      </c>
      <c r="C100">
        <v>2</v>
      </c>
      <c r="D100">
        <v>43</v>
      </c>
      <c r="E100">
        <f t="shared" si="81"/>
        <v>7.2333333333333334</v>
      </c>
      <c r="F100">
        <v>3928832320.5229998</v>
      </c>
      <c r="G100">
        <v>246030390.495</v>
      </c>
      <c r="I100">
        <v>13209214.182</v>
      </c>
      <c r="K100">
        <v>84947837.638999999</v>
      </c>
      <c r="O100">
        <v>394295284.97799999</v>
      </c>
      <c r="P100">
        <v>24087627.127</v>
      </c>
      <c r="R100">
        <v>97457488.912</v>
      </c>
      <c r="S100">
        <v>1479285.1270000001</v>
      </c>
      <c r="W100">
        <v>161810.25599999999</v>
      </c>
      <c r="Y100">
        <f t="shared" si="82"/>
        <v>4790501259.2389984</v>
      </c>
      <c r="AB100">
        <f t="shared" si="87"/>
        <v>0.8714876554862242</v>
      </c>
      <c r="AC100">
        <f t="shared" si="88"/>
        <v>2.7573762049481997E-3</v>
      </c>
      <c r="AD100">
        <f t="shared" si="89"/>
        <v>1.7732557208949465E-2</v>
      </c>
      <c r="AE100">
        <f t="shared" si="90"/>
        <v>0</v>
      </c>
      <c r="AF100">
        <f t="shared" si="91"/>
        <v>8.7335936150335705E-2</v>
      </c>
      <c r="AG100">
        <f t="shared" si="92"/>
        <v>0.97947628927403363</v>
      </c>
    </row>
    <row r="101" spans="1:48" x14ac:dyDescent="0.2">
      <c r="A101" t="s">
        <v>39</v>
      </c>
      <c r="B101">
        <v>2</v>
      </c>
      <c r="C101">
        <v>3</v>
      </c>
      <c r="D101">
        <v>19</v>
      </c>
      <c r="E101">
        <f t="shared" si="81"/>
        <v>7.833333333333333</v>
      </c>
      <c r="F101">
        <v>3990944339.4289999</v>
      </c>
      <c r="G101">
        <v>252484138.359</v>
      </c>
      <c r="I101">
        <v>11014353.83</v>
      </c>
      <c r="K101">
        <v>80820062.697999999</v>
      </c>
      <c r="O101">
        <v>402517417.162</v>
      </c>
      <c r="P101">
        <v>23543452.169</v>
      </c>
      <c r="R101">
        <v>106484119.711</v>
      </c>
      <c r="S101">
        <v>3148066.3229999999</v>
      </c>
      <c r="U101">
        <v>413276.13900000002</v>
      </c>
      <c r="W101">
        <v>188620.217</v>
      </c>
      <c r="Y101">
        <f t="shared" si="82"/>
        <v>4871557846.0369997</v>
      </c>
      <c r="AB101">
        <f t="shared" si="87"/>
        <v>0.87106190912626003</v>
      </c>
      <c r="AC101">
        <f t="shared" si="88"/>
        <v>2.2609510505884989E-3</v>
      </c>
      <c r="AD101">
        <f t="shared" si="89"/>
        <v>1.6675022940163407E-2</v>
      </c>
      <c r="AE101">
        <f t="shared" si="90"/>
        <v>0</v>
      </c>
      <c r="AF101">
        <f t="shared" si="91"/>
        <v>8.7458854599786681E-2</v>
      </c>
      <c r="AG101">
        <f t="shared" si="92"/>
        <v>0.98102530734409799</v>
      </c>
    </row>
    <row r="102" spans="1:48" x14ac:dyDescent="0.2">
      <c r="A102" t="s">
        <v>40</v>
      </c>
      <c r="B102">
        <v>2</v>
      </c>
      <c r="C102">
        <v>4</v>
      </c>
      <c r="D102">
        <v>22</v>
      </c>
      <c r="E102">
        <f t="shared" si="81"/>
        <v>8.8833333333333329</v>
      </c>
      <c r="F102">
        <v>3878251301.493</v>
      </c>
      <c r="G102">
        <v>232365799.37900001</v>
      </c>
      <c r="I102">
        <v>7946407.784</v>
      </c>
      <c r="K102">
        <v>84920462.804000005</v>
      </c>
      <c r="O102">
        <v>415445312.17900002</v>
      </c>
      <c r="P102">
        <v>24508437.145</v>
      </c>
      <c r="R102">
        <v>117754019.69599999</v>
      </c>
      <c r="S102">
        <v>2609308.5929999999</v>
      </c>
      <c r="U102">
        <v>255774.19</v>
      </c>
      <c r="W102">
        <v>257220.14600000001</v>
      </c>
      <c r="Y102">
        <f t="shared" si="82"/>
        <v>4764314043.4090004</v>
      </c>
      <c r="AB102">
        <f t="shared" si="83"/>
        <v>0.8627930617963081</v>
      </c>
      <c r="AC102">
        <f t="shared" si="84"/>
        <v>1.6679017612185199E-3</v>
      </c>
      <c r="AD102">
        <f t="shared" si="85"/>
        <v>1.7877964428443516E-2</v>
      </c>
      <c r="AE102">
        <f t="shared" si="77"/>
        <v>0</v>
      </c>
      <c r="AF102">
        <f t="shared" si="78"/>
        <v>9.2343566212356717E-2</v>
      </c>
      <c r="AG102">
        <f t="shared" si="79"/>
        <v>0.98040014489532179</v>
      </c>
      <c r="AJ102">
        <f t="shared" si="86"/>
        <v>5.39889150161797E-5</v>
      </c>
      <c r="AN102">
        <f>AVERAGE(E102,E124)</f>
        <v>9.4083333333333332</v>
      </c>
      <c r="AO102">
        <f>AVERAGE(AG102,AG125)</f>
        <v>0.83357175922076898</v>
      </c>
      <c r="AP102">
        <f>_xlfn.STDEV.P(AG102,AG124)</f>
        <v>0.14916862039921497</v>
      </c>
      <c r="AQ102">
        <f>AVERAGE(AC102,AC124)</f>
        <v>1.162270072219131E-2</v>
      </c>
      <c r="AR102">
        <f>_xlfn.STDEV.P(AC102,AC124)</f>
        <v>9.9547989609727883E-3</v>
      </c>
      <c r="AS102">
        <f>AVERAGE(AD102,AD124)</f>
        <v>0.1554382716174266</v>
      </c>
      <c r="AT102">
        <f>_xlfn.STDEV.P(AD102,AD124)</f>
        <v>0.13756030718898307</v>
      </c>
      <c r="AU102">
        <f>AVERAGE(AE102,AE124)</f>
        <v>0</v>
      </c>
      <c r="AV102">
        <f>STDEV(AE102,AE124)</f>
        <v>0</v>
      </c>
    </row>
    <row r="103" spans="1:48" x14ac:dyDescent="0.2">
      <c r="A103" t="s">
        <v>41</v>
      </c>
      <c r="B103">
        <v>2</v>
      </c>
      <c r="C103">
        <v>5</v>
      </c>
      <c r="D103">
        <v>24</v>
      </c>
      <c r="E103">
        <f t="shared" si="81"/>
        <v>9.9166666666666661</v>
      </c>
      <c r="F103">
        <v>3804208718.1059999</v>
      </c>
      <c r="G103">
        <v>230292157.78099999</v>
      </c>
      <c r="I103">
        <v>6177561.0690000001</v>
      </c>
      <c r="K103">
        <v>86122165.665000007</v>
      </c>
      <c r="O103">
        <v>434919993.58099997</v>
      </c>
      <c r="P103">
        <v>25895953.938999999</v>
      </c>
      <c r="R103">
        <v>134540222.42399999</v>
      </c>
      <c r="S103">
        <v>1970972.702</v>
      </c>
      <c r="U103">
        <v>331444.07299999997</v>
      </c>
      <c r="W103">
        <v>171030.272</v>
      </c>
      <c r="Y103">
        <f t="shared" si="82"/>
        <v>4724630219.6119995</v>
      </c>
      <c r="AB103">
        <f t="shared" si="83"/>
        <v>0.85392944809516225</v>
      </c>
      <c r="AC103">
        <f t="shared" si="84"/>
        <v>1.3075226593092654E-3</v>
      </c>
      <c r="AD103">
        <f t="shared" si="85"/>
        <v>1.8298492309330366E-2</v>
      </c>
      <c r="AE103">
        <f t="shared" si="77"/>
        <v>0</v>
      </c>
      <c r="AF103">
        <f t="shared" si="78"/>
        <v>9.7534817774129118E-2</v>
      </c>
      <c r="AG103">
        <f t="shared" si="79"/>
        <v>0.98035778531539319</v>
      </c>
      <c r="AJ103">
        <f t="shared" si="86"/>
        <v>3.6199715967199126E-5</v>
      </c>
      <c r="AN103">
        <f>AVERAGE(E103,E125)</f>
        <v>10.441666666666666</v>
      </c>
      <c r="AO103">
        <f>AVERAGE(AG103,AG126)</f>
        <v>0.82992614610164261</v>
      </c>
      <c r="AP103">
        <f>_xlfn.STDEV.P(AG103,AG125)</f>
        <v>0.14680720588458859</v>
      </c>
      <c r="AQ103">
        <f>AVERAGE(AC103,AC125)</f>
        <v>8.9554834357390353E-3</v>
      </c>
      <c r="AR103">
        <f>_xlfn.STDEV.P(AC103,AC125)</f>
        <v>7.6479607764297691E-3</v>
      </c>
      <c r="AS103">
        <f>AVERAGE(AD103,AD125)</f>
        <v>0.15546806935232327</v>
      </c>
      <c r="AT103">
        <f>_xlfn.STDEV.P(AD103,AD125)</f>
        <v>0.13716957704299293</v>
      </c>
      <c r="AU103">
        <f>AVERAGE(AE103,AE125)</f>
        <v>0</v>
      </c>
      <c r="AV103">
        <f>STDEV(AE103,AE125)</f>
        <v>0</v>
      </c>
    </row>
    <row r="107" spans="1:48" x14ac:dyDescent="0.2">
      <c r="B107" t="s">
        <v>14</v>
      </c>
      <c r="C107" t="s">
        <v>15</v>
      </c>
      <c r="D107" t="s">
        <v>16</v>
      </c>
      <c r="E107" t="s">
        <v>10</v>
      </c>
      <c r="F107" s="1">
        <v>395.87</v>
      </c>
      <c r="G107" s="1">
        <v>593.29999999999995</v>
      </c>
      <c r="H107" s="1"/>
      <c r="I107" s="1">
        <v>693.3</v>
      </c>
      <c r="J107" s="1"/>
      <c r="K107" s="1">
        <v>669.3</v>
      </c>
      <c r="L107" s="1"/>
      <c r="M107" s="1">
        <v>793.3</v>
      </c>
      <c r="O107" s="1">
        <v>399.87869999999998</v>
      </c>
      <c r="P107" s="1">
        <v>599.30340000000001</v>
      </c>
      <c r="R107" s="1">
        <v>409.54649999999998</v>
      </c>
      <c r="S107" s="1">
        <v>614.30830000000003</v>
      </c>
      <c r="U107" s="1">
        <v>628.28800000000001</v>
      </c>
      <c r="W107" s="1">
        <v>684.31370000000004</v>
      </c>
      <c r="Y107" t="s">
        <v>0</v>
      </c>
      <c r="AB107" t="s">
        <v>1</v>
      </c>
      <c r="AC107" t="s">
        <v>2</v>
      </c>
      <c r="AD107" t="s">
        <v>3</v>
      </c>
      <c r="AE107" t="s">
        <v>4</v>
      </c>
      <c r="AF107" t="s">
        <v>74</v>
      </c>
      <c r="AG107" t="s">
        <v>8</v>
      </c>
    </row>
    <row r="108" spans="1:48" x14ac:dyDescent="0.2">
      <c r="B108">
        <v>1</v>
      </c>
      <c r="C108">
        <v>19</v>
      </c>
      <c r="D108">
        <v>34</v>
      </c>
      <c r="E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</row>
    <row r="109" spans="1:48" x14ac:dyDescent="0.2">
      <c r="A109" t="s">
        <v>48</v>
      </c>
      <c r="B109">
        <v>1</v>
      </c>
      <c r="C109">
        <v>19</v>
      </c>
      <c r="D109">
        <v>37</v>
      </c>
      <c r="E109">
        <f>(B109-$B$108)*24+(C109-$C$108)+(D109-$D$108)/60</f>
        <v>0.05</v>
      </c>
      <c r="F109">
        <v>3923865392.5799999</v>
      </c>
      <c r="G109">
        <v>259668912.06200001</v>
      </c>
      <c r="I109">
        <v>89075392.350999996</v>
      </c>
      <c r="K109">
        <v>6754175.7450000001</v>
      </c>
      <c r="M109">
        <v>1106979.277</v>
      </c>
      <c r="O109">
        <v>79502117.272</v>
      </c>
      <c r="P109">
        <v>3311803.9580000001</v>
      </c>
      <c r="R109">
        <v>8665009.7249999996</v>
      </c>
      <c r="Y109">
        <f>SUM(F109:W109)</f>
        <v>4371949782.9700003</v>
      </c>
      <c r="AB109">
        <f>SUM(F109:G109)/Y109</f>
        <v>0.95690355843931851</v>
      </c>
      <c r="AC109">
        <f>I109/Y109</f>
        <v>2.0374294484802692E-2</v>
      </c>
      <c r="AD109">
        <f>K109/Y109</f>
        <v>1.5448886836050711E-3</v>
      </c>
      <c r="AE109">
        <f>M109/Y109</f>
        <v>2.5320036412860967E-4</v>
      </c>
      <c r="AF109">
        <f>(SUM(O109:S109))/Y109</f>
        <v>2.0924058028144947E-2</v>
      </c>
      <c r="AG109">
        <f>(SUM(F109:G109)+SUM(O109:P109)+SUM(R109:S109))/Y109</f>
        <v>0.97782761646746352</v>
      </c>
    </row>
    <row r="110" spans="1:48" x14ac:dyDescent="0.2">
      <c r="A110" t="s">
        <v>49</v>
      </c>
      <c r="B110">
        <v>1</v>
      </c>
      <c r="C110">
        <v>20</v>
      </c>
      <c r="D110">
        <v>8</v>
      </c>
      <c r="E110">
        <f t="shared" ref="E110:E134" si="93">(B110-$B$108)*24+(C110-$C$108)+(D110-$D$108)/60</f>
        <v>0.56666666666666665</v>
      </c>
      <c r="F110">
        <v>2843629464.8379998</v>
      </c>
      <c r="G110">
        <v>175348196.07800001</v>
      </c>
      <c r="I110">
        <v>791752867.56599998</v>
      </c>
      <c r="K110">
        <v>162226608.78299999</v>
      </c>
      <c r="M110">
        <v>6174043.2429999998</v>
      </c>
      <c r="O110">
        <v>148874864.729</v>
      </c>
      <c r="P110">
        <v>7185072.6380000003</v>
      </c>
      <c r="R110">
        <v>13204221.380999999</v>
      </c>
      <c r="Y110">
        <f t="shared" ref="Y110:Y115" si="94">SUM(F110:W110)</f>
        <v>4148395339.256</v>
      </c>
      <c r="AB110">
        <f t="shared" ref="AB110:AB115" si="95">SUM(F110:G110)/Y110</f>
        <v>0.72774589064537976</v>
      </c>
      <c r="AC110">
        <f t="shared" ref="AC110:AC115" si="96">I110/Y110</f>
        <v>0.19085762151781754</v>
      </c>
      <c r="AD110">
        <f t="shared" ref="AD110:AD115" si="97">K110/Y110</f>
        <v>3.9105869984921632E-2</v>
      </c>
      <c r="AE110">
        <f t="shared" ref="AE110:AE115" si="98">M110/Y110</f>
        <v>1.4882967359873885E-3</v>
      </c>
      <c r="AF110">
        <f t="shared" ref="AF110:AF134" si="99">(SUM(O110:S110))/Y110</f>
        <v>4.0802321115893679E-2</v>
      </c>
      <c r="AG110">
        <f t="shared" ref="AG110:AG115" si="100">(SUM(F110:G110)+SUM(O110:P110)+SUM(R110:S110))/Y110</f>
        <v>0.76854821176127341</v>
      </c>
    </row>
    <row r="111" spans="1:48" x14ac:dyDescent="0.2">
      <c r="A111" t="s">
        <v>50</v>
      </c>
      <c r="B111">
        <v>1</v>
      </c>
      <c r="C111">
        <v>20</v>
      </c>
      <c r="D111">
        <v>45</v>
      </c>
      <c r="E111">
        <f t="shared" si="93"/>
        <v>1.1833333333333333</v>
      </c>
      <c r="F111">
        <v>2466575014.105</v>
      </c>
      <c r="G111">
        <v>150585436.58199999</v>
      </c>
      <c r="I111">
        <v>953325954.949</v>
      </c>
      <c r="K111">
        <v>384455277.79900002</v>
      </c>
      <c r="M111">
        <v>2211019.3530000001</v>
      </c>
      <c r="O111">
        <v>164969255.23699999</v>
      </c>
      <c r="P111">
        <v>9371223.2640000004</v>
      </c>
      <c r="R111">
        <v>16547575.085000001</v>
      </c>
      <c r="S111">
        <v>501406.03100000002</v>
      </c>
      <c r="W111">
        <v>279667.315</v>
      </c>
      <c r="Y111">
        <f t="shared" si="94"/>
        <v>4148821829.7199998</v>
      </c>
      <c r="AB111">
        <f t="shared" si="95"/>
        <v>0.63082016006062847</v>
      </c>
      <c r="AC111">
        <f t="shared" si="96"/>
        <v>0.22978233196708259</v>
      </c>
      <c r="AD111">
        <f t="shared" si="97"/>
        <v>9.2666133562295333E-2</v>
      </c>
      <c r="AE111">
        <f t="shared" si="98"/>
        <v>5.3292704380829476E-4</v>
      </c>
      <c r="AF111">
        <f t="shared" si="99"/>
        <v>4.6131038514593596E-2</v>
      </c>
      <c r="AG111">
        <f t="shared" si="100"/>
        <v>0.67695119857522212</v>
      </c>
    </row>
    <row r="112" spans="1:48" x14ac:dyDescent="0.2">
      <c r="A112" t="s">
        <v>51</v>
      </c>
      <c r="B112">
        <v>1</v>
      </c>
      <c r="C112">
        <v>21</v>
      </c>
      <c r="D112">
        <v>21</v>
      </c>
      <c r="E112">
        <f t="shared" si="93"/>
        <v>1.7833333333333332</v>
      </c>
      <c r="F112">
        <v>2292890303.3790002</v>
      </c>
      <c r="G112">
        <v>134738170.002</v>
      </c>
      <c r="I112">
        <v>859661658.45700002</v>
      </c>
      <c r="K112">
        <v>551996472.12</v>
      </c>
      <c r="M112">
        <v>813317.41200000001</v>
      </c>
      <c r="O112">
        <v>169673039.002</v>
      </c>
      <c r="P112">
        <v>10094758.061000001</v>
      </c>
      <c r="R112">
        <v>20168964.495999999</v>
      </c>
      <c r="S112">
        <v>382110.95400000003</v>
      </c>
      <c r="W112">
        <v>872982.61</v>
      </c>
      <c r="Y112">
        <f t="shared" si="94"/>
        <v>4041291776.493</v>
      </c>
      <c r="AB112">
        <f t="shared" si="95"/>
        <v>0.60070606322013109</v>
      </c>
      <c r="AC112">
        <f t="shared" si="96"/>
        <v>0.21271952286578213</v>
      </c>
      <c r="AD112">
        <f t="shared" si="97"/>
        <v>0.13658911621546366</v>
      </c>
      <c r="AE112">
        <f t="shared" si="98"/>
        <v>2.0125184148564253E-4</v>
      </c>
      <c r="AF112">
        <f t="shared" si="99"/>
        <v>4.956803012299079E-2</v>
      </c>
      <c r="AG112">
        <f t="shared" si="100"/>
        <v>0.65027409334312192</v>
      </c>
    </row>
    <row r="113" spans="1:33" x14ac:dyDescent="0.2">
      <c r="A113" t="s">
        <v>52</v>
      </c>
      <c r="B113">
        <v>1</v>
      </c>
      <c r="C113">
        <v>21</v>
      </c>
      <c r="D113">
        <v>57</v>
      </c>
      <c r="E113">
        <f t="shared" si="93"/>
        <v>2.3833333333333333</v>
      </c>
      <c r="F113">
        <v>2367470609.8379998</v>
      </c>
      <c r="G113">
        <v>144876530.30199999</v>
      </c>
      <c r="I113">
        <v>748721632.18400002</v>
      </c>
      <c r="K113">
        <v>708496726.89400005</v>
      </c>
      <c r="O113">
        <v>185626537.15000001</v>
      </c>
      <c r="P113">
        <v>11009789.437000001</v>
      </c>
      <c r="R113">
        <v>24948964.394000001</v>
      </c>
      <c r="S113">
        <v>806563.23899999994</v>
      </c>
      <c r="W113">
        <v>946081.647</v>
      </c>
      <c r="Y113">
        <f t="shared" si="94"/>
        <v>4192903435.0849996</v>
      </c>
      <c r="AB113">
        <f t="shared" si="95"/>
        <v>0.59919031741046258</v>
      </c>
      <c r="AC113">
        <f t="shared" si="96"/>
        <v>0.17856877549788402</v>
      </c>
      <c r="AD113">
        <f t="shared" si="97"/>
        <v>0.16897520724314921</v>
      </c>
      <c r="AE113">
        <f t="shared" si="98"/>
        <v>0</v>
      </c>
      <c r="AF113">
        <f t="shared" si="99"/>
        <v>5.3040061061051268E-2</v>
      </c>
      <c r="AG113">
        <f t="shared" si="100"/>
        <v>0.65223037847151377</v>
      </c>
    </row>
    <row r="114" spans="1:33" x14ac:dyDescent="0.2">
      <c r="A114" t="s">
        <v>53</v>
      </c>
      <c r="B114">
        <v>1</v>
      </c>
      <c r="C114">
        <v>22</v>
      </c>
      <c r="D114">
        <v>34</v>
      </c>
      <c r="E114">
        <f t="shared" si="93"/>
        <v>3</v>
      </c>
      <c r="F114">
        <v>2281458774.7389998</v>
      </c>
      <c r="G114">
        <v>135967396.68799999</v>
      </c>
      <c r="I114">
        <v>611647183.31799996</v>
      </c>
      <c r="K114">
        <v>811774093.96899998</v>
      </c>
      <c r="O114">
        <v>199653132.458</v>
      </c>
      <c r="P114">
        <v>11347417.964</v>
      </c>
      <c r="R114">
        <v>33144748.157000002</v>
      </c>
      <c r="S114">
        <v>216449.86499999999</v>
      </c>
      <c r="W114">
        <v>1349144.8629999999</v>
      </c>
      <c r="Y114">
        <f t="shared" si="94"/>
        <v>4086558342.0209999</v>
      </c>
      <c r="AB114">
        <f t="shared" si="95"/>
        <v>0.59155552646079845</v>
      </c>
      <c r="AC114">
        <f t="shared" si="96"/>
        <v>0.14967293554299557</v>
      </c>
      <c r="AD114">
        <f t="shared" si="97"/>
        <v>0.19864492955398225</v>
      </c>
      <c r="AE114">
        <f t="shared" si="98"/>
        <v>0</v>
      </c>
      <c r="AF114">
        <f t="shared" si="99"/>
        <v>5.9796466364200086E-2</v>
      </c>
      <c r="AG114">
        <f t="shared" si="100"/>
        <v>0.65135199282499845</v>
      </c>
    </row>
    <row r="115" spans="1:33" x14ac:dyDescent="0.2">
      <c r="A115" t="s">
        <v>54</v>
      </c>
      <c r="B115">
        <v>1</v>
      </c>
      <c r="C115">
        <v>23</v>
      </c>
      <c r="D115">
        <v>10</v>
      </c>
      <c r="E115">
        <f t="shared" si="93"/>
        <v>3.6</v>
      </c>
      <c r="F115">
        <v>2313336639.2719998</v>
      </c>
      <c r="G115">
        <v>139650165.097</v>
      </c>
      <c r="I115">
        <v>494570030.25599998</v>
      </c>
      <c r="K115">
        <v>911274647.52400005</v>
      </c>
      <c r="O115">
        <v>223704486.15000001</v>
      </c>
      <c r="P115">
        <v>12914698.346999999</v>
      </c>
      <c r="R115">
        <v>37270625.559</v>
      </c>
      <c r="S115">
        <v>395987.76500000001</v>
      </c>
      <c r="W115">
        <v>1777864.8</v>
      </c>
      <c r="Y115">
        <f t="shared" si="94"/>
        <v>4134895144.7700005</v>
      </c>
      <c r="AB115">
        <f t="shared" si="95"/>
        <v>0.59324038905113397</v>
      </c>
      <c r="AC115">
        <f t="shared" si="96"/>
        <v>0.11960884446648042</v>
      </c>
      <c r="AD115">
        <f t="shared" si="97"/>
        <v>0.22038639811135738</v>
      </c>
      <c r="AE115">
        <f t="shared" si="98"/>
        <v>0</v>
      </c>
      <c r="AF115">
        <f t="shared" si="99"/>
        <v>6.6334402256349567E-2</v>
      </c>
      <c r="AG115">
        <f t="shared" si="100"/>
        <v>0.65957479130748353</v>
      </c>
    </row>
    <row r="116" spans="1:33" x14ac:dyDescent="0.2">
      <c r="A116" t="s">
        <v>55</v>
      </c>
      <c r="B116">
        <v>1</v>
      </c>
      <c r="C116">
        <v>23</v>
      </c>
      <c r="D116">
        <v>46</v>
      </c>
      <c r="E116">
        <f t="shared" si="93"/>
        <v>4.2</v>
      </c>
      <c r="F116">
        <v>2308335868.0799999</v>
      </c>
      <c r="G116">
        <v>131292093.817</v>
      </c>
      <c r="I116">
        <v>428380053.315</v>
      </c>
      <c r="K116">
        <v>973020590.36300004</v>
      </c>
      <c r="O116">
        <v>237365186.91299999</v>
      </c>
      <c r="P116">
        <v>13685711.673</v>
      </c>
      <c r="R116">
        <v>42922052.443999998</v>
      </c>
      <c r="S116">
        <v>1345348.28</v>
      </c>
      <c r="U116">
        <v>875928.90099999995</v>
      </c>
      <c r="W116">
        <v>2157687.0380000002</v>
      </c>
      <c r="Y116">
        <f t="shared" ref="Y116:Y134" si="101">SUM(F116:W116)</f>
        <v>4139380520.8239999</v>
      </c>
      <c r="AB116">
        <f t="shared" ref="AB116:AB130" si="102">SUM(F116:G116)/Y116</f>
        <v>0.58937030544158786</v>
      </c>
      <c r="AC116">
        <f t="shared" ref="AC116:AC130" si="103">I116/Y116</f>
        <v>0.10348892815240024</v>
      </c>
      <c r="AD116">
        <f t="shared" ref="AD116:AD130" si="104">K116/Y116</f>
        <v>0.23506430140162787</v>
      </c>
      <c r="AE116">
        <f t="shared" ref="AE116:AE130" si="105">M116/Y116</f>
        <v>0</v>
      </c>
      <c r="AF116">
        <f t="shared" si="99"/>
        <v>7.1343597870343375E-2</v>
      </c>
      <c r="AG116">
        <f t="shared" ref="AG116:AG130" si="106">(SUM(F116:G116)+SUM(O116:P116)+SUM(R116:S116))/Y116</f>
        <v>0.66071390331193125</v>
      </c>
    </row>
    <row r="117" spans="1:33" x14ac:dyDescent="0.2">
      <c r="A117" t="s">
        <v>56</v>
      </c>
      <c r="B117">
        <v>2</v>
      </c>
      <c r="C117">
        <v>0</v>
      </c>
      <c r="D117">
        <v>23</v>
      </c>
      <c r="E117">
        <f t="shared" si="93"/>
        <v>4.8166666666666664</v>
      </c>
      <c r="F117">
        <v>2311109048.6760001</v>
      </c>
      <c r="G117">
        <v>129712451.045</v>
      </c>
      <c r="I117">
        <v>355938863.56099999</v>
      </c>
      <c r="K117">
        <v>1071687672.059</v>
      </c>
      <c r="O117">
        <v>231404733.949</v>
      </c>
      <c r="P117">
        <v>12796120.846000001</v>
      </c>
      <c r="R117">
        <v>46606645.399999999</v>
      </c>
      <c r="S117">
        <v>556003.24199999997</v>
      </c>
      <c r="U117">
        <v>1682436.6</v>
      </c>
      <c r="W117">
        <v>2227378.273</v>
      </c>
      <c r="Y117">
        <f t="shared" si="101"/>
        <v>4163721353.651</v>
      </c>
      <c r="AB117">
        <f t="shared" si="102"/>
        <v>0.58621153828671602</v>
      </c>
      <c r="AC117">
        <f t="shared" si="103"/>
        <v>8.5485755008291198E-2</v>
      </c>
      <c r="AD117">
        <f t="shared" si="104"/>
        <v>0.25738698174873786</v>
      </c>
      <c r="AE117">
        <f t="shared" si="105"/>
        <v>0</v>
      </c>
      <c r="AF117">
        <f t="shared" si="99"/>
        <v>6.9976705617323554E-2</v>
      </c>
      <c r="AG117">
        <f t="shared" si="106"/>
        <v>0.65618824390403963</v>
      </c>
    </row>
    <row r="118" spans="1:33" x14ac:dyDescent="0.2">
      <c r="A118" t="s">
        <v>57</v>
      </c>
      <c r="B118">
        <v>2</v>
      </c>
      <c r="C118">
        <v>0</v>
      </c>
      <c r="D118">
        <v>59</v>
      </c>
      <c r="E118">
        <f t="shared" si="93"/>
        <v>5.416666666666667</v>
      </c>
      <c r="F118">
        <v>2316158446.5489998</v>
      </c>
      <c r="G118">
        <v>137221234.43099999</v>
      </c>
      <c r="I118">
        <v>312277676.57700002</v>
      </c>
      <c r="K118">
        <v>1127615805.546</v>
      </c>
      <c r="O118">
        <v>250807345.37099999</v>
      </c>
      <c r="P118">
        <v>14288243.971999999</v>
      </c>
      <c r="R118">
        <v>52578917.622000001</v>
      </c>
      <c r="S118">
        <v>660284.31499999994</v>
      </c>
      <c r="U118">
        <v>1866988.254</v>
      </c>
      <c r="W118">
        <v>2997408.943</v>
      </c>
      <c r="Y118">
        <f t="shared" si="101"/>
        <v>4216472351.5799999</v>
      </c>
      <c r="AB118">
        <f t="shared" si="102"/>
        <v>0.58185598680865702</v>
      </c>
      <c r="AC118">
        <f t="shared" si="103"/>
        <v>7.4061359956500858E-2</v>
      </c>
      <c r="AD118">
        <f t="shared" si="104"/>
        <v>0.26743109204154009</v>
      </c>
      <c r="AE118">
        <f t="shared" si="105"/>
        <v>0</v>
      </c>
      <c r="AF118">
        <f t="shared" si="99"/>
        <v>7.5497896045900389E-2</v>
      </c>
      <c r="AG118">
        <f t="shared" si="106"/>
        <v>0.65735388285455731</v>
      </c>
    </row>
    <row r="119" spans="1:33" x14ac:dyDescent="0.2">
      <c r="A119" t="s">
        <v>58</v>
      </c>
      <c r="B119">
        <v>2</v>
      </c>
      <c r="C119">
        <v>1</v>
      </c>
      <c r="D119">
        <v>35</v>
      </c>
      <c r="E119">
        <f t="shared" si="93"/>
        <v>6.0166666666666666</v>
      </c>
      <c r="F119">
        <v>2280850450.454</v>
      </c>
      <c r="G119">
        <v>131934204.95</v>
      </c>
      <c r="I119">
        <v>260752378.498</v>
      </c>
      <c r="K119">
        <v>1171302223.3529999</v>
      </c>
      <c r="O119">
        <v>257833136.065</v>
      </c>
      <c r="P119">
        <v>15088992.291999999</v>
      </c>
      <c r="R119">
        <v>57451054.174000002</v>
      </c>
      <c r="S119">
        <v>1457819.057</v>
      </c>
      <c r="U119">
        <v>2262664.5109999999</v>
      </c>
      <c r="W119">
        <v>2604109.6889999998</v>
      </c>
      <c r="Y119">
        <f t="shared" si="101"/>
        <v>4181537033.0430002</v>
      </c>
      <c r="AB119">
        <f t="shared" si="102"/>
        <v>0.57700903671015946</v>
      </c>
      <c r="AC119">
        <f t="shared" si="103"/>
        <v>6.2358022047276841E-2</v>
      </c>
      <c r="AD119">
        <f t="shared" si="104"/>
        <v>0.2801128422628405</v>
      </c>
      <c r="AE119">
        <f t="shared" si="105"/>
        <v>0</v>
      </c>
      <c r="AF119">
        <f t="shared" si="99"/>
        <v>7.9356226900738222E-2</v>
      </c>
      <c r="AG119">
        <f t="shared" si="106"/>
        <v>0.65636526361089764</v>
      </c>
    </row>
    <row r="120" spans="1:33" x14ac:dyDescent="0.2">
      <c r="A120" t="s">
        <v>59</v>
      </c>
      <c r="B120">
        <v>2</v>
      </c>
      <c r="C120">
        <v>2</v>
      </c>
      <c r="D120">
        <v>12</v>
      </c>
      <c r="E120">
        <f t="shared" si="93"/>
        <v>6.6333333333333337</v>
      </c>
      <c r="F120">
        <v>2250597785.6760001</v>
      </c>
      <c r="G120">
        <v>124843337.472</v>
      </c>
      <c r="I120">
        <v>219599688.68700001</v>
      </c>
      <c r="K120">
        <v>1211145078.4749999</v>
      </c>
      <c r="O120">
        <v>267452012.71399999</v>
      </c>
      <c r="P120">
        <v>15355946.619000001</v>
      </c>
      <c r="R120">
        <v>66107765.327</v>
      </c>
      <c r="S120">
        <v>1417428.564</v>
      </c>
      <c r="U120">
        <v>3457746.8960000002</v>
      </c>
      <c r="W120">
        <v>3623384.2209999999</v>
      </c>
      <c r="Y120">
        <f t="shared" si="101"/>
        <v>4163600174.6510005</v>
      </c>
      <c r="AB120">
        <f t="shared" si="102"/>
        <v>0.5705257525951356</v>
      </c>
      <c r="AC120">
        <f t="shared" si="103"/>
        <v>5.2742741732017338E-2</v>
      </c>
      <c r="AD120">
        <f t="shared" si="104"/>
        <v>0.29088890087207281</v>
      </c>
      <c r="AE120">
        <f t="shared" si="105"/>
        <v>0</v>
      </c>
      <c r="AF120">
        <f t="shared" si="99"/>
        <v>8.4141881671759108E-2</v>
      </c>
      <c r="AG120">
        <f t="shared" si="106"/>
        <v>0.65466763426689478</v>
      </c>
    </row>
    <row r="121" spans="1:33" x14ac:dyDescent="0.2">
      <c r="A121" t="s">
        <v>60</v>
      </c>
      <c r="B121">
        <v>2</v>
      </c>
      <c r="C121">
        <v>2</v>
      </c>
      <c r="D121">
        <v>48</v>
      </c>
      <c r="E121">
        <f t="shared" si="93"/>
        <v>7.2333333333333334</v>
      </c>
      <c r="F121">
        <v>2258730162.6950002</v>
      </c>
      <c r="G121">
        <v>135182466.472</v>
      </c>
      <c r="I121">
        <v>175399228.62</v>
      </c>
      <c r="K121">
        <v>1180825315.096</v>
      </c>
      <c r="O121">
        <v>279492335.60699999</v>
      </c>
      <c r="P121">
        <v>15379473.025</v>
      </c>
      <c r="R121">
        <v>69583663.122999996</v>
      </c>
      <c r="S121">
        <v>1686198.68</v>
      </c>
      <c r="U121">
        <v>3537380.3480000002</v>
      </c>
      <c r="W121">
        <v>3951150.233</v>
      </c>
      <c r="Y121">
        <f t="shared" si="101"/>
        <v>4123767373.8990002</v>
      </c>
      <c r="AB121">
        <f t="shared" si="102"/>
        <v>0.5805159244236342</v>
      </c>
      <c r="AC121">
        <f t="shared" si="103"/>
        <v>4.2533734984706709E-2</v>
      </c>
      <c r="AD121">
        <f t="shared" si="104"/>
        <v>0.2863462479891381</v>
      </c>
      <c r="AE121">
        <f t="shared" si="105"/>
        <v>0</v>
      </c>
      <c r="AF121">
        <f t="shared" si="99"/>
        <v>8.8788148611985113E-2</v>
      </c>
      <c r="AG121">
        <f t="shared" si="106"/>
        <v>0.66930407303561923</v>
      </c>
    </row>
    <row r="122" spans="1:33" x14ac:dyDescent="0.2">
      <c r="A122" t="s">
        <v>61</v>
      </c>
      <c r="B122">
        <v>2</v>
      </c>
      <c r="C122">
        <v>3</v>
      </c>
      <c r="D122">
        <v>24</v>
      </c>
      <c r="E122">
        <f t="shared" si="93"/>
        <v>7.833333333333333</v>
      </c>
      <c r="F122">
        <v>2277741959.2719998</v>
      </c>
      <c r="G122">
        <v>139292177.995</v>
      </c>
      <c r="I122">
        <v>152015211.06600001</v>
      </c>
      <c r="K122">
        <v>1226221349.201</v>
      </c>
      <c r="O122">
        <v>303972467.546</v>
      </c>
      <c r="P122">
        <v>16860295.191</v>
      </c>
      <c r="R122">
        <v>77021501.785999998</v>
      </c>
      <c r="S122">
        <v>1573422.7069999999</v>
      </c>
      <c r="U122">
        <v>4611759.9809999997</v>
      </c>
      <c r="W122">
        <v>4228063.6150000002</v>
      </c>
      <c r="Y122">
        <f t="shared" si="101"/>
        <v>4203538208.3599987</v>
      </c>
      <c r="AB122">
        <f t="shared" si="102"/>
        <v>0.57499992089045393</v>
      </c>
      <c r="AC122">
        <f t="shared" si="103"/>
        <v>3.6163632523589791E-2</v>
      </c>
      <c r="AD122">
        <f t="shared" si="104"/>
        <v>0.29171171722961631</v>
      </c>
      <c r="AE122">
        <f t="shared" si="105"/>
        <v>0</v>
      </c>
      <c r="AF122">
        <f t="shared" si="99"/>
        <v>9.5021781040462064E-2</v>
      </c>
      <c r="AG122">
        <f t="shared" si="106"/>
        <v>0.67002170193091604</v>
      </c>
    </row>
    <row r="123" spans="1:33" x14ac:dyDescent="0.2">
      <c r="A123" t="s">
        <v>62</v>
      </c>
      <c r="B123">
        <v>2</v>
      </c>
      <c r="C123">
        <v>4</v>
      </c>
      <c r="D123">
        <v>27</v>
      </c>
      <c r="E123">
        <f t="shared" si="93"/>
        <v>8.8833333333333329</v>
      </c>
      <c r="F123">
        <v>2212055939.2199998</v>
      </c>
      <c r="G123">
        <v>125835435.222</v>
      </c>
      <c r="I123">
        <v>109909672.465</v>
      </c>
      <c r="K123">
        <v>1177765094.79</v>
      </c>
      <c r="O123">
        <v>297632438.80800003</v>
      </c>
      <c r="P123">
        <v>15662245.819</v>
      </c>
      <c r="R123">
        <v>87656118.401999995</v>
      </c>
      <c r="S123">
        <v>2185700.773</v>
      </c>
      <c r="U123">
        <v>6156258.9390000002</v>
      </c>
      <c r="W123">
        <v>4208015.32</v>
      </c>
      <c r="Y123">
        <f t="shared" si="101"/>
        <v>4039066919.7579999</v>
      </c>
      <c r="AB123">
        <f t="shared" si="102"/>
        <v>0.57881966822725339</v>
      </c>
      <c r="AC123">
        <f t="shared" si="103"/>
        <v>2.7211649286460752E-2</v>
      </c>
      <c r="AD123">
        <f t="shared" si="104"/>
        <v>0.29159336009727849</v>
      </c>
      <c r="AE123">
        <f t="shared" si="105"/>
        <v>0</v>
      </c>
      <c r="AF123">
        <f t="shared" si="99"/>
        <v>9.980931532230071E-2</v>
      </c>
      <c r="AG123">
        <f t="shared" si="106"/>
        <v>0.67862898354955414</v>
      </c>
    </row>
    <row r="124" spans="1:33" x14ac:dyDescent="0.2">
      <c r="A124" t="s">
        <v>63</v>
      </c>
      <c r="B124">
        <v>2</v>
      </c>
      <c r="C124">
        <v>5</v>
      </c>
      <c r="D124">
        <v>30</v>
      </c>
      <c r="E124">
        <f t="shared" si="93"/>
        <v>9.9333333333333336</v>
      </c>
      <c r="F124">
        <v>2265314625.1090002</v>
      </c>
      <c r="G124">
        <v>130869247.397</v>
      </c>
      <c r="I124">
        <v>89412174.229000002</v>
      </c>
      <c r="K124">
        <v>1214118427.1470001</v>
      </c>
      <c r="O124">
        <v>312825529.31900001</v>
      </c>
      <c r="P124">
        <v>17266980.489</v>
      </c>
      <c r="R124">
        <v>97621052.211999997</v>
      </c>
      <c r="S124">
        <v>2413681.7629999998</v>
      </c>
      <c r="U124">
        <v>8708135.9780000001</v>
      </c>
      <c r="W124">
        <v>5219143.78</v>
      </c>
      <c r="Y124">
        <f t="shared" si="101"/>
        <v>4143768997.4230003</v>
      </c>
      <c r="AB124">
        <f t="shared" si="102"/>
        <v>0.57826193351902122</v>
      </c>
      <c r="AC124">
        <f t="shared" si="103"/>
        <v>2.1577499683164098E-2</v>
      </c>
      <c r="AD124">
        <f t="shared" si="104"/>
        <v>0.29299857880640967</v>
      </c>
      <c r="AE124">
        <f t="shared" si="105"/>
        <v>0</v>
      </c>
      <c r="AF124">
        <f t="shared" si="99"/>
        <v>0.10380097057787128</v>
      </c>
      <c r="AG124">
        <f t="shared" si="106"/>
        <v>0.68206290409689241</v>
      </c>
    </row>
    <row r="125" spans="1:33" x14ac:dyDescent="0.2">
      <c r="A125" t="s">
        <v>64</v>
      </c>
      <c r="B125">
        <v>2</v>
      </c>
      <c r="C125">
        <v>6</v>
      </c>
      <c r="D125">
        <v>32</v>
      </c>
      <c r="E125">
        <f t="shared" si="93"/>
        <v>10.966666666666667</v>
      </c>
      <c r="F125">
        <v>2209460294.1160002</v>
      </c>
      <c r="G125">
        <v>121651457.39300001</v>
      </c>
      <c r="I125">
        <v>67050009.924000002</v>
      </c>
      <c r="K125">
        <v>1181764267.9560001</v>
      </c>
      <c r="O125">
        <v>319281196.73299998</v>
      </c>
      <c r="P125">
        <v>19572705.973999999</v>
      </c>
      <c r="R125">
        <v>100632553.91</v>
      </c>
      <c r="S125">
        <v>2690841.0079999999</v>
      </c>
      <c r="U125">
        <v>11342856.412</v>
      </c>
      <c r="W125">
        <v>4873159.6689999998</v>
      </c>
      <c r="Y125">
        <f t="shared" si="101"/>
        <v>4038319343.0949998</v>
      </c>
      <c r="AB125">
        <f t="shared" si="102"/>
        <v>0.57724799686654249</v>
      </c>
      <c r="AC125">
        <f t="shared" si="103"/>
        <v>1.6603444212168805E-2</v>
      </c>
      <c r="AD125">
        <f t="shared" si="104"/>
        <v>0.2926376463953162</v>
      </c>
      <c r="AE125">
        <f t="shared" si="105"/>
        <v>0</v>
      </c>
      <c r="AF125">
        <f t="shared" si="99"/>
        <v>0.10949537667967384</v>
      </c>
      <c r="AG125">
        <f t="shared" si="106"/>
        <v>0.68674337354621628</v>
      </c>
    </row>
    <row r="126" spans="1:33" x14ac:dyDescent="0.2">
      <c r="A126" t="s">
        <v>65</v>
      </c>
      <c r="B126">
        <v>2</v>
      </c>
      <c r="C126">
        <v>7</v>
      </c>
      <c r="D126">
        <v>35</v>
      </c>
      <c r="E126">
        <f t="shared" si="93"/>
        <v>12.016666666666667</v>
      </c>
      <c r="F126">
        <v>2119450188.54</v>
      </c>
      <c r="G126">
        <v>117509376.719</v>
      </c>
      <c r="I126">
        <v>53185136.971000001</v>
      </c>
      <c r="K126">
        <v>1198710719.3310001</v>
      </c>
      <c r="O126">
        <v>325191623.28799999</v>
      </c>
      <c r="P126">
        <v>17180866.691</v>
      </c>
      <c r="R126">
        <v>114296920.957</v>
      </c>
      <c r="S126">
        <v>2492210.02</v>
      </c>
      <c r="U126">
        <v>13987928.835000001</v>
      </c>
      <c r="W126">
        <v>5828703.3650000002</v>
      </c>
      <c r="Y126">
        <f t="shared" si="101"/>
        <v>3967833674.7169995</v>
      </c>
      <c r="AB126">
        <f t="shared" si="102"/>
        <v>0.56377352193789931</v>
      </c>
      <c r="AC126">
        <f t="shared" si="103"/>
        <v>1.3404074195421853E-2</v>
      </c>
      <c r="AD126">
        <f t="shared" si="104"/>
        <v>0.30210709863399116</v>
      </c>
      <c r="AE126">
        <f t="shared" si="105"/>
        <v>0</v>
      </c>
      <c r="AF126">
        <f t="shared" si="99"/>
        <v>0.11572098494999265</v>
      </c>
      <c r="AG126">
        <f t="shared" si="106"/>
        <v>0.67949450688789204</v>
      </c>
    </row>
    <row r="127" spans="1:33" x14ac:dyDescent="0.2">
      <c r="A127" t="s">
        <v>66</v>
      </c>
      <c r="B127">
        <v>2</v>
      </c>
      <c r="C127">
        <v>8</v>
      </c>
      <c r="D127">
        <v>37</v>
      </c>
      <c r="E127">
        <f t="shared" si="93"/>
        <v>13.05</v>
      </c>
      <c r="F127">
        <v>2141523001.9549999</v>
      </c>
      <c r="G127">
        <v>119784308.05500001</v>
      </c>
      <c r="I127">
        <v>42300022.840000004</v>
      </c>
      <c r="K127">
        <v>1126230569.2750001</v>
      </c>
      <c r="O127">
        <v>336680123.79000002</v>
      </c>
      <c r="P127">
        <v>18034443.807</v>
      </c>
      <c r="R127">
        <v>120872443.54899999</v>
      </c>
      <c r="S127">
        <v>2713356.3530000001</v>
      </c>
      <c r="U127">
        <v>16915018.563000001</v>
      </c>
      <c r="W127">
        <v>5936723.2280000001</v>
      </c>
      <c r="Y127">
        <f t="shared" si="101"/>
        <v>3930990011.4150004</v>
      </c>
      <c r="AB127">
        <f t="shared" si="102"/>
        <v>0.5752513497728321</v>
      </c>
      <c r="AC127">
        <f t="shared" si="103"/>
        <v>1.0760653860011635E-2</v>
      </c>
      <c r="AD127">
        <f t="shared" si="104"/>
        <v>0.28650049122602622</v>
      </c>
      <c r="AE127">
        <f t="shared" si="105"/>
        <v>0</v>
      </c>
      <c r="AF127">
        <f t="shared" si="99"/>
        <v>0.12167427699131468</v>
      </c>
      <c r="AG127">
        <f t="shared" si="106"/>
        <v>0.69692562676414682</v>
      </c>
    </row>
    <row r="128" spans="1:33" x14ac:dyDescent="0.2">
      <c r="A128" t="s">
        <v>67</v>
      </c>
      <c r="B128">
        <v>2</v>
      </c>
      <c r="C128">
        <v>9</v>
      </c>
      <c r="D128">
        <v>48</v>
      </c>
      <c r="E128">
        <f t="shared" si="93"/>
        <v>14.233333333333333</v>
      </c>
      <c r="F128">
        <v>2096775959.973</v>
      </c>
      <c r="G128">
        <v>125954552.88</v>
      </c>
      <c r="I128">
        <v>31258825.232999999</v>
      </c>
      <c r="K128">
        <v>1091253399.171</v>
      </c>
      <c r="O128">
        <v>355694352.16299999</v>
      </c>
      <c r="P128">
        <v>19524179.245000001</v>
      </c>
      <c r="R128">
        <v>130708324.76800001</v>
      </c>
      <c r="S128">
        <v>3061215.2540000002</v>
      </c>
      <c r="U128">
        <v>18869949.182999998</v>
      </c>
      <c r="W128">
        <v>6389745.0209999997</v>
      </c>
      <c r="Y128">
        <f t="shared" si="101"/>
        <v>3879490502.8910003</v>
      </c>
      <c r="AB128">
        <f t="shared" si="102"/>
        <v>0.57294392425928586</v>
      </c>
      <c r="AC128">
        <f t="shared" si="103"/>
        <v>8.0574563102309166E-3</v>
      </c>
      <c r="AD128">
        <f t="shared" si="104"/>
        <v>0.28128781301508454</v>
      </c>
      <c r="AE128">
        <f t="shared" si="105"/>
        <v>0</v>
      </c>
      <c r="AF128">
        <f t="shared" si="99"/>
        <v>0.13119972095580634</v>
      </c>
      <c r="AG128">
        <f t="shared" si="106"/>
        <v>0.70414364521509221</v>
      </c>
    </row>
    <row r="129" spans="1:33" x14ac:dyDescent="0.2">
      <c r="A129" t="s">
        <v>68</v>
      </c>
      <c r="B129">
        <v>2</v>
      </c>
      <c r="C129">
        <v>19</v>
      </c>
      <c r="D129">
        <v>6</v>
      </c>
      <c r="E129">
        <f t="shared" si="93"/>
        <v>23.533333333333335</v>
      </c>
      <c r="F129">
        <v>2276831995.2820001</v>
      </c>
      <c r="G129">
        <v>136911076.13600001</v>
      </c>
      <c r="I129">
        <v>7186368.9349999996</v>
      </c>
      <c r="K129">
        <v>1033367718.182</v>
      </c>
      <c r="O129">
        <v>468452155.23400003</v>
      </c>
      <c r="P129">
        <v>25941046.153999999</v>
      </c>
      <c r="R129">
        <v>229989096.23199999</v>
      </c>
      <c r="S129">
        <v>5132541.3870000001</v>
      </c>
      <c r="U129">
        <v>55248073.890000001</v>
      </c>
      <c r="W129">
        <v>8521847.9759999998</v>
      </c>
      <c r="Y129">
        <f t="shared" si="101"/>
        <v>4247581919.408</v>
      </c>
      <c r="AB129">
        <f t="shared" si="102"/>
        <v>0.56826286513490287</v>
      </c>
      <c r="AC129">
        <f t="shared" si="103"/>
        <v>1.691872945914034E-3</v>
      </c>
      <c r="AD129">
        <f t="shared" si="104"/>
        <v>0.24328376421896628</v>
      </c>
      <c r="AE129">
        <f t="shared" si="105"/>
        <v>0</v>
      </c>
      <c r="AF129">
        <f t="shared" si="99"/>
        <v>0.17174826827322848</v>
      </c>
      <c r="AG129">
        <f t="shared" si="106"/>
        <v>0.74001113340813141</v>
      </c>
    </row>
    <row r="130" spans="1:33" x14ac:dyDescent="0.2">
      <c r="A130" t="s">
        <v>69</v>
      </c>
      <c r="B130">
        <v>2</v>
      </c>
      <c r="C130">
        <v>22</v>
      </c>
      <c r="D130">
        <v>57</v>
      </c>
      <c r="E130">
        <f t="shared" si="93"/>
        <v>27.383333333333333</v>
      </c>
      <c r="F130">
        <v>2163457477.1129999</v>
      </c>
      <c r="G130">
        <v>120694368.752</v>
      </c>
      <c r="I130">
        <v>19636259.300999999</v>
      </c>
      <c r="K130">
        <v>927141146.25600004</v>
      </c>
      <c r="O130">
        <v>492967706.25999999</v>
      </c>
      <c r="P130">
        <v>25924032.686999999</v>
      </c>
      <c r="R130">
        <v>260089652.10800001</v>
      </c>
      <c r="S130">
        <v>6971858.8870000001</v>
      </c>
      <c r="U130">
        <v>74171374.973000005</v>
      </c>
      <c r="W130">
        <v>9106495.9829999991</v>
      </c>
      <c r="Y130">
        <f t="shared" si="101"/>
        <v>4100160372.3199997</v>
      </c>
      <c r="AB130">
        <f t="shared" si="102"/>
        <v>0.55708841568373946</v>
      </c>
      <c r="AC130">
        <f t="shared" si="103"/>
        <v>4.7891442084957245E-3</v>
      </c>
      <c r="AD130">
        <f t="shared" si="104"/>
        <v>0.22612314203978182</v>
      </c>
      <c r="AE130">
        <f t="shared" si="105"/>
        <v>0</v>
      </c>
      <c r="AF130">
        <f t="shared" si="99"/>
        <v>0.1916884166892435</v>
      </c>
      <c r="AG130">
        <f t="shared" si="106"/>
        <v>0.74877683237298298</v>
      </c>
    </row>
    <row r="131" spans="1:33" x14ac:dyDescent="0.2">
      <c r="A131" t="s">
        <v>70</v>
      </c>
      <c r="B131">
        <v>3</v>
      </c>
      <c r="C131">
        <v>8</v>
      </c>
      <c r="D131">
        <v>48</v>
      </c>
      <c r="E131">
        <f t="shared" si="93"/>
        <v>37.233333333333334</v>
      </c>
      <c r="F131">
        <v>2113592950.2579999</v>
      </c>
      <c r="G131">
        <v>122806458.205</v>
      </c>
      <c r="I131">
        <v>397468.38099999999</v>
      </c>
      <c r="K131">
        <v>713727909.93799996</v>
      </c>
      <c r="O131">
        <v>569964440.09399998</v>
      </c>
      <c r="P131">
        <v>33198329.903999999</v>
      </c>
      <c r="R131">
        <v>344699460.08099997</v>
      </c>
      <c r="S131">
        <v>9847052.9010000005</v>
      </c>
      <c r="U131">
        <v>115915882.263</v>
      </c>
      <c r="W131">
        <v>10012357.093</v>
      </c>
      <c r="Y131">
        <f t="shared" si="101"/>
        <v>4034162309.1179991</v>
      </c>
      <c r="AB131">
        <f t="shared" ref="AB131:AB134" si="107">SUM(F131:G131)/Y131</f>
        <v>0.55436525283286142</v>
      </c>
      <c r="AC131">
        <f t="shared" ref="AC131:AC134" si="108">I131/Y131</f>
        <v>9.8525629497267229E-5</v>
      </c>
      <c r="AD131">
        <f t="shared" ref="AD131:AD134" si="109">K131/Y131</f>
        <v>0.17692097026558271</v>
      </c>
      <c r="AE131">
        <f t="shared" ref="AE131:AE134" si="110">M131/Y131</f>
        <v>0</v>
      </c>
      <c r="AF131">
        <f t="shared" si="99"/>
        <v>0.23739978949666674</v>
      </c>
      <c r="AG131">
        <f t="shared" ref="AG131:AG134" si="111">(SUM(F131:G131)+SUM(O131:P131)+SUM(R131:S131))/Y131</f>
        <v>0.79176504232952827</v>
      </c>
    </row>
    <row r="132" spans="1:33" x14ac:dyDescent="0.2">
      <c r="A132" t="s">
        <v>71</v>
      </c>
      <c r="B132">
        <v>3</v>
      </c>
      <c r="C132">
        <v>17</v>
      </c>
      <c r="D132">
        <v>33</v>
      </c>
      <c r="E132">
        <f t="shared" si="93"/>
        <v>45.983333333333334</v>
      </c>
      <c r="F132">
        <v>2053795419.694</v>
      </c>
      <c r="G132">
        <v>132377779.71699999</v>
      </c>
      <c r="K132">
        <v>577546521.04200006</v>
      </c>
      <c r="O132">
        <v>586076044.60699999</v>
      </c>
      <c r="P132">
        <v>36367349.916000001</v>
      </c>
      <c r="R132">
        <v>391667468.75599998</v>
      </c>
      <c r="S132">
        <v>14385960.982999999</v>
      </c>
      <c r="U132">
        <v>151207210.08399999</v>
      </c>
      <c r="W132">
        <v>10360399.17</v>
      </c>
      <c r="Y132">
        <f t="shared" si="101"/>
        <v>3953784153.9689999</v>
      </c>
      <c r="AB132">
        <f t="shared" si="107"/>
        <v>0.55293185320104365</v>
      </c>
      <c r="AC132">
        <f t="shared" si="108"/>
        <v>0</v>
      </c>
      <c r="AD132">
        <f t="shared" si="109"/>
        <v>0.1460743678843042</v>
      </c>
      <c r="AE132">
        <f t="shared" si="110"/>
        <v>0</v>
      </c>
      <c r="AF132">
        <f t="shared" si="99"/>
        <v>0.26012973501083642</v>
      </c>
      <c r="AG132">
        <f t="shared" si="111"/>
        <v>0.81306158821188013</v>
      </c>
    </row>
    <row r="133" spans="1:33" x14ac:dyDescent="0.2">
      <c r="A133" t="s">
        <v>72</v>
      </c>
      <c r="B133">
        <v>4</v>
      </c>
      <c r="C133">
        <v>9</v>
      </c>
      <c r="D133">
        <v>10</v>
      </c>
      <c r="E133">
        <f t="shared" si="93"/>
        <v>61.6</v>
      </c>
      <c r="F133">
        <v>1955980780.473</v>
      </c>
      <c r="G133">
        <v>139474413.00999999</v>
      </c>
      <c r="K133">
        <v>383397577.06999999</v>
      </c>
      <c r="O133">
        <v>614669530.34300005</v>
      </c>
      <c r="P133">
        <v>41662350.681000002</v>
      </c>
      <c r="R133">
        <v>495484753.22500002</v>
      </c>
      <c r="S133">
        <v>23142515.465999998</v>
      </c>
      <c r="U133">
        <v>205238521.669</v>
      </c>
      <c r="W133">
        <v>9435427.4979999997</v>
      </c>
      <c r="Y133">
        <f t="shared" si="101"/>
        <v>3868485869.4350004</v>
      </c>
      <c r="AB133">
        <f t="shared" si="107"/>
        <v>0.54167321898193854</v>
      </c>
      <c r="AC133">
        <f t="shared" si="108"/>
        <v>0</v>
      </c>
      <c r="AD133">
        <f t="shared" si="109"/>
        <v>9.9107917156744302E-2</v>
      </c>
      <c r="AE133">
        <f t="shared" si="110"/>
        <v>0</v>
      </c>
      <c r="AF133">
        <f t="shared" si="99"/>
        <v>0.3037258476238418</v>
      </c>
      <c r="AG133">
        <f t="shared" si="111"/>
        <v>0.84539906660578035</v>
      </c>
    </row>
    <row r="134" spans="1:33" x14ac:dyDescent="0.2">
      <c r="A134" t="s">
        <v>73</v>
      </c>
      <c r="B134">
        <v>4</v>
      </c>
      <c r="C134">
        <v>17</v>
      </c>
      <c r="D134">
        <v>58</v>
      </c>
      <c r="E134">
        <f t="shared" si="93"/>
        <v>70.400000000000006</v>
      </c>
      <c r="F134">
        <v>1862210584.5</v>
      </c>
      <c r="G134">
        <v>111309443.81900001</v>
      </c>
      <c r="K134">
        <v>289595851.07800001</v>
      </c>
      <c r="O134">
        <v>647157703.148</v>
      </c>
      <c r="P134">
        <v>37226286.386</v>
      </c>
      <c r="R134">
        <v>516989532.46700001</v>
      </c>
      <c r="S134">
        <v>22860334.522999998</v>
      </c>
      <c r="U134">
        <v>217874412.78600001</v>
      </c>
      <c r="W134">
        <v>8502234.2219999991</v>
      </c>
      <c r="Y134">
        <f t="shared" si="101"/>
        <v>3713726382.9289999</v>
      </c>
      <c r="AB134">
        <f t="shared" si="107"/>
        <v>0.53141234028191742</v>
      </c>
      <c r="AC134">
        <f t="shared" si="108"/>
        <v>0</v>
      </c>
      <c r="AD134">
        <f t="shared" si="109"/>
        <v>7.7979856676893097E-2</v>
      </c>
      <c r="AE134">
        <f t="shared" si="110"/>
        <v>0</v>
      </c>
      <c r="AF134">
        <f t="shared" si="99"/>
        <v>0.32965106480420131</v>
      </c>
      <c r="AG134">
        <f t="shared" si="111"/>
        <v>0.86106340508611889</v>
      </c>
    </row>
    <row r="135" spans="1:33" x14ac:dyDescent="0.2">
      <c r="F135" s="1"/>
      <c r="G135" s="1"/>
      <c r="H135" s="1"/>
      <c r="I135" s="1"/>
      <c r="J135" s="1"/>
      <c r="K135" s="1"/>
      <c r="L135" s="1"/>
      <c r="M135" s="1"/>
      <c r="O135" s="1"/>
      <c r="P135" s="1"/>
      <c r="R135" s="1"/>
      <c r="S135" s="1"/>
      <c r="U135" s="1"/>
      <c r="W135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2"/>
  <sheetViews>
    <sheetView topLeftCell="A67" zoomScale="90" zoomScaleNormal="90" workbookViewId="0">
      <selection activeCell="I151" sqref="I151"/>
    </sheetView>
  </sheetViews>
  <sheetFormatPr baseColWidth="10" defaultColWidth="10.6640625" defaultRowHeight="15" x14ac:dyDescent="0.2"/>
  <cols>
    <col min="1" max="1" width="30.33203125" customWidth="1"/>
    <col min="2" max="2" width="8.1640625" customWidth="1"/>
    <col min="17" max="17" width="11.1640625" bestFit="1" customWidth="1"/>
  </cols>
  <sheetData>
    <row r="1" spans="1:21" ht="16" x14ac:dyDescent="0.2">
      <c r="A1" s="3"/>
      <c r="B1" s="3"/>
      <c r="C1" s="3"/>
      <c r="D1" s="3"/>
      <c r="E1" s="3"/>
      <c r="F1" s="3"/>
      <c r="G1" s="3" t="s">
        <v>42</v>
      </c>
      <c r="H1" s="3"/>
      <c r="I1" t="s">
        <v>45</v>
      </c>
      <c r="J1" t="s">
        <v>11</v>
      </c>
      <c r="K1" s="3" t="s">
        <v>11</v>
      </c>
      <c r="M1" t="s">
        <v>2</v>
      </c>
      <c r="O1" s="3" t="s">
        <v>46</v>
      </c>
    </row>
    <row r="2" spans="1:21" ht="16" x14ac:dyDescent="0.2">
      <c r="A2" s="3"/>
      <c r="B2" s="3"/>
      <c r="C2" s="3"/>
      <c r="D2" s="3"/>
      <c r="E2" s="3" t="s">
        <v>43</v>
      </c>
      <c r="F2" s="3"/>
      <c r="G2" s="3">
        <v>2</v>
      </c>
      <c r="H2" s="3">
        <v>1</v>
      </c>
      <c r="I2">
        <v>2</v>
      </c>
      <c r="J2" s="3">
        <v>2</v>
      </c>
      <c r="K2" s="3">
        <v>1</v>
      </c>
      <c r="M2" s="3">
        <v>1</v>
      </c>
      <c r="O2" s="3">
        <v>1</v>
      </c>
    </row>
    <row r="3" spans="1:21" ht="16" x14ac:dyDescent="0.2">
      <c r="A3" s="3" t="s">
        <v>44</v>
      </c>
      <c r="B3" s="3" t="s">
        <v>47</v>
      </c>
      <c r="C3" s="3" t="s">
        <v>15</v>
      </c>
      <c r="D3" s="3" t="s">
        <v>16</v>
      </c>
      <c r="E3" s="3" t="s">
        <v>10</v>
      </c>
      <c r="F3" s="3"/>
      <c r="G3" s="3">
        <v>346.66289999999998</v>
      </c>
      <c r="H3" s="3">
        <v>692.31849999999997</v>
      </c>
      <c r="I3">
        <v>367.17630000000003</v>
      </c>
      <c r="J3" s="1">
        <v>352.66289999999998</v>
      </c>
      <c r="K3" s="3">
        <v>704.31799999999998</v>
      </c>
      <c r="M3" s="3">
        <v>892.33280000000002</v>
      </c>
      <c r="O3" s="4">
        <v>844.32452999999998</v>
      </c>
      <c r="Q3" t="s">
        <v>0</v>
      </c>
      <c r="S3" t="s">
        <v>1</v>
      </c>
      <c r="T3" t="s">
        <v>2</v>
      </c>
      <c r="U3" t="s">
        <v>3</v>
      </c>
    </row>
    <row r="4" spans="1:21" ht="16" x14ac:dyDescent="0.2">
      <c r="A4" s="3"/>
      <c r="B4" s="3">
        <v>1</v>
      </c>
      <c r="C4" s="3">
        <v>20</v>
      </c>
      <c r="D4" s="3">
        <v>24</v>
      </c>
      <c r="E4" s="3">
        <v>0</v>
      </c>
      <c r="F4" s="3"/>
      <c r="G4" s="3"/>
      <c r="H4" s="3"/>
      <c r="J4" s="1"/>
      <c r="K4" s="3"/>
      <c r="M4" s="3"/>
      <c r="O4" s="4"/>
      <c r="S4">
        <v>1</v>
      </c>
      <c r="T4">
        <v>0</v>
      </c>
      <c r="U4">
        <v>0</v>
      </c>
    </row>
    <row r="5" spans="1:21" x14ac:dyDescent="0.2">
      <c r="A5" t="s">
        <v>75</v>
      </c>
      <c r="B5">
        <v>1</v>
      </c>
      <c r="C5">
        <v>20</v>
      </c>
      <c r="D5">
        <v>26</v>
      </c>
      <c r="E5">
        <f>(B5-$B$4)*24+(C5-$C$4)+(D5-$D$4)/60</f>
        <v>3.3333333333333333E-2</v>
      </c>
      <c r="G5">
        <v>1398944341.513</v>
      </c>
      <c r="H5">
        <v>43220718.917999998</v>
      </c>
      <c r="I5">
        <v>4447459.148</v>
      </c>
      <c r="J5">
        <v>30724084.649999999</v>
      </c>
      <c r="K5">
        <v>1940551.4569999999</v>
      </c>
      <c r="M5">
        <v>15633054.745999999</v>
      </c>
      <c r="O5">
        <v>88994812.349999994</v>
      </c>
      <c r="Q5">
        <f>SUM(G5:O5)</f>
        <v>1583905022.7820001</v>
      </c>
      <c r="S5">
        <f>SUM(G5:K5)/Q5</f>
        <v>0.93394309280475063</v>
      </c>
      <c r="T5">
        <f>SUM(M5/Q5)</f>
        <v>9.8699445491635691E-3</v>
      </c>
      <c r="U5">
        <f>O5/Q5</f>
        <v>5.6186962646085852E-2</v>
      </c>
    </row>
    <row r="6" spans="1:21" x14ac:dyDescent="0.2">
      <c r="A6" t="s">
        <v>76</v>
      </c>
      <c r="B6">
        <v>1</v>
      </c>
      <c r="C6">
        <v>21</v>
      </c>
      <c r="D6">
        <v>3</v>
      </c>
      <c r="E6">
        <f t="shared" ref="E6:E32" si="0">(B6-$B$4)*24+(C6-$C$4)+(D6-$D$4)/60</f>
        <v>0.65</v>
      </c>
      <c r="G6">
        <v>107280241.653</v>
      </c>
      <c r="H6">
        <v>3113754.4840000002</v>
      </c>
      <c r="I6">
        <v>7027517.6699999999</v>
      </c>
      <c r="J6">
        <v>88093841.503999993</v>
      </c>
      <c r="K6">
        <v>4439357.352</v>
      </c>
      <c r="M6">
        <v>21355691.265999999</v>
      </c>
      <c r="O6">
        <v>676893777.17200005</v>
      </c>
      <c r="Q6">
        <f t="shared" ref="Q6:Q11" si="1">SUM(G6:O6)</f>
        <v>908204181.10100007</v>
      </c>
      <c r="S6">
        <f t="shared" ref="S6:S11" si="2">SUM(G6:K6)/Q6</f>
        <v>0.23117567286298502</v>
      </c>
      <c r="T6">
        <f t="shared" ref="T6:T11" si="3">SUM(M6/Q6)</f>
        <v>2.351419615808294E-2</v>
      </c>
      <c r="U6">
        <f t="shared" ref="U6:U11" si="4">O6/Q6</f>
        <v>0.74531013097893206</v>
      </c>
    </row>
    <row r="7" spans="1:21" x14ac:dyDescent="0.2">
      <c r="A7" t="s">
        <v>77</v>
      </c>
      <c r="B7">
        <v>1</v>
      </c>
      <c r="C7">
        <v>21</v>
      </c>
      <c r="D7">
        <v>39</v>
      </c>
      <c r="E7">
        <f t="shared" si="0"/>
        <v>1.25</v>
      </c>
      <c r="G7">
        <v>48521322.174999997</v>
      </c>
      <c r="H7">
        <v>1541674.5220000001</v>
      </c>
      <c r="I7">
        <v>8456111.4820000008</v>
      </c>
      <c r="J7">
        <v>86975042.339000002</v>
      </c>
      <c r="K7">
        <v>4643841.4119999995</v>
      </c>
      <c r="M7">
        <v>34269207.835000001</v>
      </c>
      <c r="O7">
        <v>717546891.60300004</v>
      </c>
      <c r="Q7">
        <f t="shared" si="1"/>
        <v>901954091.36800003</v>
      </c>
      <c r="S7">
        <f t="shared" si="2"/>
        <v>0.16645857407474551</v>
      </c>
      <c r="T7">
        <f t="shared" si="3"/>
        <v>3.7994403665294822E-2</v>
      </c>
      <c r="U7">
        <f t="shared" si="4"/>
        <v>0.79554702225995966</v>
      </c>
    </row>
    <row r="8" spans="1:21" x14ac:dyDescent="0.2">
      <c r="A8" t="s">
        <v>78</v>
      </c>
      <c r="B8">
        <v>1</v>
      </c>
      <c r="C8">
        <v>22</v>
      </c>
      <c r="D8">
        <v>15</v>
      </c>
      <c r="E8">
        <f t="shared" si="0"/>
        <v>1.85</v>
      </c>
      <c r="G8">
        <v>47857610.751000002</v>
      </c>
      <c r="H8">
        <v>1596270.4720000001</v>
      </c>
      <c r="I8">
        <v>8342776.1629999997</v>
      </c>
      <c r="J8">
        <v>87701337.415000007</v>
      </c>
      <c r="K8">
        <v>4761458.6890000002</v>
      </c>
      <c r="M8">
        <v>44183824.792000003</v>
      </c>
      <c r="O8">
        <v>710511918.176</v>
      </c>
      <c r="Q8">
        <f t="shared" si="1"/>
        <v>904955196.45799994</v>
      </c>
      <c r="S8">
        <f t="shared" si="2"/>
        <v>0.16604076541923446</v>
      </c>
      <c r="T8">
        <f t="shared" si="3"/>
        <v>4.8824322977464252E-2</v>
      </c>
      <c r="U8">
        <f t="shared" si="4"/>
        <v>0.7851349116033014</v>
      </c>
    </row>
    <row r="9" spans="1:21" x14ac:dyDescent="0.2">
      <c r="A9" t="s">
        <v>79</v>
      </c>
      <c r="B9">
        <v>1</v>
      </c>
      <c r="C9">
        <v>22</v>
      </c>
      <c r="D9">
        <v>52</v>
      </c>
      <c r="E9">
        <f>(B9-$B$4)*24+(C9-$C$4)+(D9-$D$4)/60</f>
        <v>2.4666666666666668</v>
      </c>
      <c r="G9">
        <v>60808789.905000001</v>
      </c>
      <c r="H9">
        <v>1994380.2209999999</v>
      </c>
      <c r="I9">
        <v>8534255.1669999994</v>
      </c>
      <c r="J9">
        <v>89947476.871999994</v>
      </c>
      <c r="K9">
        <v>4904960.0310000004</v>
      </c>
      <c r="M9">
        <v>41809273.784999996</v>
      </c>
      <c r="O9">
        <v>709213889.29200006</v>
      </c>
      <c r="Q9">
        <f t="shared" si="1"/>
        <v>917213025.273</v>
      </c>
      <c r="S9">
        <f t="shared" si="2"/>
        <v>0.18119003722884888</v>
      </c>
      <c r="T9">
        <f t="shared" si="3"/>
        <v>4.558294816251203E-2</v>
      </c>
      <c r="U9">
        <f t="shared" si="4"/>
        <v>0.77322701460863907</v>
      </c>
    </row>
    <row r="10" spans="1:21" x14ac:dyDescent="0.2">
      <c r="A10" t="s">
        <v>80</v>
      </c>
      <c r="B10">
        <v>1</v>
      </c>
      <c r="C10">
        <v>23</v>
      </c>
      <c r="D10">
        <v>28</v>
      </c>
      <c r="E10">
        <f>(B10-$B$4)*24+(C10-$C$4)+(D10-$D$4)/60</f>
        <v>3.0666666666666669</v>
      </c>
      <c r="G10">
        <v>78404729.343999997</v>
      </c>
      <c r="H10">
        <v>2439087.1839999999</v>
      </c>
      <c r="I10">
        <v>10000524.867000001</v>
      </c>
      <c r="J10">
        <v>91490906.673999995</v>
      </c>
      <c r="K10">
        <v>4661248.0070000002</v>
      </c>
      <c r="M10">
        <v>41454684.869000003</v>
      </c>
      <c r="O10">
        <v>712917132.86199999</v>
      </c>
      <c r="Q10">
        <f t="shared" si="1"/>
        <v>941368313.80699992</v>
      </c>
      <c r="S10">
        <f t="shared" si="2"/>
        <v>0.19864328694022537</v>
      </c>
      <c r="T10">
        <f t="shared" si="3"/>
        <v>4.4036626537122932E-2</v>
      </c>
      <c r="U10">
        <f t="shared" si="4"/>
        <v>0.75732008652265181</v>
      </c>
    </row>
    <row r="11" spans="1:21" x14ac:dyDescent="0.2">
      <c r="A11" t="s">
        <v>81</v>
      </c>
      <c r="B11">
        <v>2</v>
      </c>
      <c r="C11">
        <v>0</v>
      </c>
      <c r="D11">
        <v>4</v>
      </c>
      <c r="E11">
        <f t="shared" si="0"/>
        <v>3.6666666666666665</v>
      </c>
      <c r="G11">
        <v>97422225.041999996</v>
      </c>
      <c r="H11">
        <v>3269826.469</v>
      </c>
      <c r="I11">
        <v>11315213.497</v>
      </c>
      <c r="J11">
        <v>97403099.538000003</v>
      </c>
      <c r="K11">
        <v>5300442.1890000002</v>
      </c>
      <c r="M11">
        <v>39991118.544</v>
      </c>
      <c r="O11">
        <v>706214960.31599998</v>
      </c>
      <c r="Q11">
        <f t="shared" si="1"/>
        <v>960916885.59500003</v>
      </c>
      <c r="S11">
        <f t="shared" si="2"/>
        <v>0.22344368171036044</v>
      </c>
      <c r="T11">
        <f t="shared" si="3"/>
        <v>4.1617666567735967E-2</v>
      </c>
      <c r="U11">
        <f t="shared" si="4"/>
        <v>0.73493865172190354</v>
      </c>
    </row>
    <row r="12" spans="1:21" x14ac:dyDescent="0.2">
      <c r="A12" t="s">
        <v>82</v>
      </c>
      <c r="B12">
        <v>2</v>
      </c>
      <c r="C12">
        <v>0</v>
      </c>
      <c r="D12">
        <v>40</v>
      </c>
      <c r="E12">
        <f t="shared" si="0"/>
        <v>4.2666666666666666</v>
      </c>
      <c r="G12">
        <v>117550274.404</v>
      </c>
      <c r="H12">
        <v>4114386.43</v>
      </c>
      <c r="I12">
        <v>13660571.762</v>
      </c>
      <c r="J12">
        <v>107921760.505</v>
      </c>
      <c r="K12">
        <v>5872067.2460000003</v>
      </c>
      <c r="M12">
        <v>37320974.501999997</v>
      </c>
      <c r="O12">
        <v>688007684.579</v>
      </c>
      <c r="Q12">
        <f t="shared" ref="Q12:Q27" si="5">SUM(G12:O12)</f>
        <v>974447719.42799997</v>
      </c>
      <c r="S12">
        <f t="shared" ref="S12:S27" si="6">SUM(G12:K12)/Q12</f>
        <v>0.25565154023166342</v>
      </c>
      <c r="T12">
        <f t="shared" ref="T12:T27" si="7">SUM(M12/Q12)</f>
        <v>3.8299617062993771E-2</v>
      </c>
      <c r="U12">
        <f t="shared" ref="U12:U27" si="8">O12/Q12</f>
        <v>0.70604884270534285</v>
      </c>
    </row>
    <row r="13" spans="1:21" x14ac:dyDescent="0.2">
      <c r="A13" t="s">
        <v>83</v>
      </c>
      <c r="B13">
        <v>2</v>
      </c>
      <c r="C13">
        <v>1</v>
      </c>
      <c r="D13">
        <v>16</v>
      </c>
      <c r="E13">
        <f t="shared" si="0"/>
        <v>4.8666666666666663</v>
      </c>
      <c r="G13">
        <v>135931620.66</v>
      </c>
      <c r="H13">
        <v>4468836.8420000002</v>
      </c>
      <c r="I13">
        <v>16100461.006999999</v>
      </c>
      <c r="J13">
        <v>117476365.52</v>
      </c>
      <c r="K13">
        <v>6761624.5290000001</v>
      </c>
      <c r="M13">
        <v>36790204.294</v>
      </c>
      <c r="O13">
        <v>680606474.33200002</v>
      </c>
      <c r="Q13">
        <f t="shared" si="5"/>
        <v>998135587.18400002</v>
      </c>
      <c r="S13">
        <f t="shared" si="6"/>
        <v>0.28126329945818024</v>
      </c>
      <c r="T13">
        <f t="shared" si="7"/>
        <v>3.6858924545306246E-2</v>
      </c>
      <c r="U13">
        <f t="shared" si="8"/>
        <v>0.68187777599651345</v>
      </c>
    </row>
    <row r="14" spans="1:21" x14ac:dyDescent="0.2">
      <c r="A14" t="s">
        <v>84</v>
      </c>
      <c r="B14">
        <v>2</v>
      </c>
      <c r="C14">
        <v>1</v>
      </c>
      <c r="D14">
        <v>52</v>
      </c>
      <c r="E14">
        <f t="shared" si="0"/>
        <v>5.4666666666666668</v>
      </c>
      <c r="G14">
        <v>154944346.625</v>
      </c>
      <c r="H14">
        <v>4966006.9529999997</v>
      </c>
      <c r="I14">
        <v>19828570.199000001</v>
      </c>
      <c r="J14">
        <v>134434838.86300001</v>
      </c>
      <c r="K14">
        <v>7316968.0149999997</v>
      </c>
      <c r="M14">
        <v>33906853.994999997</v>
      </c>
      <c r="O14">
        <v>682328075.85399997</v>
      </c>
      <c r="Q14">
        <f t="shared" si="5"/>
        <v>1037725660.5039999</v>
      </c>
      <c r="S14">
        <f t="shared" si="6"/>
        <v>0.30980320029752295</v>
      </c>
      <c r="T14">
        <f t="shared" si="7"/>
        <v>3.2674198283322978E-2</v>
      </c>
      <c r="U14">
        <f t="shared" si="8"/>
        <v>0.65752260141915408</v>
      </c>
    </row>
    <row r="15" spans="1:21" x14ac:dyDescent="0.2">
      <c r="A15" t="s">
        <v>85</v>
      </c>
      <c r="B15">
        <v>2</v>
      </c>
      <c r="C15">
        <v>2</v>
      </c>
      <c r="D15">
        <v>29</v>
      </c>
      <c r="E15">
        <f t="shared" si="0"/>
        <v>6.083333333333333</v>
      </c>
      <c r="G15">
        <v>170005688.15200001</v>
      </c>
      <c r="H15">
        <v>5895612.3710000003</v>
      </c>
      <c r="I15">
        <v>23890896.885000002</v>
      </c>
      <c r="J15">
        <v>150407399.227</v>
      </c>
      <c r="K15">
        <v>8584260.0130000003</v>
      </c>
      <c r="M15">
        <v>33542158.204999998</v>
      </c>
      <c r="O15">
        <v>664278600.19000006</v>
      </c>
      <c r="Q15">
        <f t="shared" si="5"/>
        <v>1056604615.043</v>
      </c>
      <c r="S15">
        <f t="shared" si="6"/>
        <v>0.33956302247780623</v>
      </c>
      <c r="T15">
        <f t="shared" si="7"/>
        <v>3.1745231591322316E-2</v>
      </c>
      <c r="U15">
        <f t="shared" si="8"/>
        <v>0.62869174593087152</v>
      </c>
    </row>
    <row r="16" spans="1:21" x14ac:dyDescent="0.2">
      <c r="A16" t="s">
        <v>86</v>
      </c>
      <c r="B16">
        <v>2</v>
      </c>
      <c r="C16">
        <v>3</v>
      </c>
      <c r="D16">
        <v>5</v>
      </c>
      <c r="E16">
        <f t="shared" si="0"/>
        <v>6.6833333333333336</v>
      </c>
      <c r="G16">
        <v>182991463.30700001</v>
      </c>
      <c r="H16">
        <v>6087286.6469999999</v>
      </c>
      <c r="I16">
        <v>27352456.640999999</v>
      </c>
      <c r="J16">
        <v>162492536.37099999</v>
      </c>
      <c r="K16">
        <v>9037827.4749999996</v>
      </c>
      <c r="M16">
        <v>33720837.789999999</v>
      </c>
      <c r="O16">
        <v>633302674.05200005</v>
      </c>
      <c r="Q16">
        <f t="shared" si="5"/>
        <v>1054985082.283</v>
      </c>
      <c r="S16">
        <f t="shared" si="6"/>
        <v>0.36774128559377034</v>
      </c>
      <c r="T16">
        <f t="shared" si="7"/>
        <v>3.1963331383821764E-2</v>
      </c>
      <c r="U16">
        <f t="shared" si="8"/>
        <v>0.60029538302240792</v>
      </c>
    </row>
    <row r="17" spans="1:21" x14ac:dyDescent="0.2">
      <c r="A17" t="s">
        <v>87</v>
      </c>
      <c r="B17">
        <v>2</v>
      </c>
      <c r="C17">
        <v>3</v>
      </c>
      <c r="D17">
        <v>41</v>
      </c>
      <c r="E17">
        <f t="shared" si="0"/>
        <v>7.2833333333333332</v>
      </c>
      <c r="G17">
        <v>202326210.97099999</v>
      </c>
      <c r="H17">
        <v>6713060.8150000004</v>
      </c>
      <c r="I17">
        <v>31962970.105999999</v>
      </c>
      <c r="J17">
        <v>181845006.78099999</v>
      </c>
      <c r="K17">
        <v>9977447.0150000006</v>
      </c>
      <c r="M17">
        <v>30260879.855999999</v>
      </c>
      <c r="O17">
        <v>621106486.01499999</v>
      </c>
      <c r="Q17">
        <f t="shared" si="5"/>
        <v>1084192061.559</v>
      </c>
      <c r="S17">
        <f t="shared" si="6"/>
        <v>0.39921404245076769</v>
      </c>
      <c r="T17">
        <f t="shared" si="7"/>
        <v>2.7910995596561329E-2</v>
      </c>
      <c r="U17">
        <f t="shared" si="8"/>
        <v>0.57287496195267096</v>
      </c>
    </row>
    <row r="18" spans="1:21" x14ac:dyDescent="0.2">
      <c r="A18" t="s">
        <v>88</v>
      </c>
      <c r="B18">
        <v>2</v>
      </c>
      <c r="C18">
        <v>4</v>
      </c>
      <c r="D18">
        <v>17</v>
      </c>
      <c r="E18">
        <f t="shared" si="0"/>
        <v>7.8833333333333337</v>
      </c>
      <c r="G18">
        <v>220293389.33500001</v>
      </c>
      <c r="H18">
        <v>7970300.5049999999</v>
      </c>
      <c r="I18">
        <v>38763669.634999998</v>
      </c>
      <c r="J18">
        <v>200502840.241</v>
      </c>
      <c r="K18">
        <v>11404970.912</v>
      </c>
      <c r="M18">
        <v>29272722.460999999</v>
      </c>
      <c r="O18">
        <v>625619433.66400003</v>
      </c>
      <c r="Q18">
        <f t="shared" si="5"/>
        <v>1133827326.753</v>
      </c>
      <c r="S18">
        <f t="shared" si="6"/>
        <v>0.42240573968132467</v>
      </c>
      <c r="T18">
        <f t="shared" si="7"/>
        <v>2.581761946488784E-2</v>
      </c>
      <c r="U18">
        <f t="shared" si="8"/>
        <v>0.55177664085378753</v>
      </c>
    </row>
    <row r="19" spans="1:21" x14ac:dyDescent="0.2">
      <c r="A19" t="s">
        <v>89</v>
      </c>
      <c r="B19">
        <v>2</v>
      </c>
      <c r="C19">
        <v>4</v>
      </c>
      <c r="D19">
        <v>53</v>
      </c>
      <c r="E19">
        <f t="shared" si="0"/>
        <v>8.4833333333333325</v>
      </c>
      <c r="G19">
        <v>237916657.896</v>
      </c>
      <c r="H19">
        <v>8092145.8459999999</v>
      </c>
      <c r="I19">
        <v>44875357.244000003</v>
      </c>
      <c r="J19">
        <v>224129690.24599999</v>
      </c>
      <c r="K19">
        <v>12508300.852</v>
      </c>
      <c r="M19">
        <v>28252812.182</v>
      </c>
      <c r="O19">
        <v>591287297.88699996</v>
      </c>
      <c r="Q19">
        <f t="shared" si="5"/>
        <v>1147062262.1529999</v>
      </c>
      <c r="S19">
        <f t="shared" si="6"/>
        <v>0.45988972829936664</v>
      </c>
      <c r="T19">
        <f t="shared" si="7"/>
        <v>2.4630582937120046E-2</v>
      </c>
      <c r="U19">
        <f t="shared" si="8"/>
        <v>0.51547968876351336</v>
      </c>
    </row>
    <row r="20" spans="1:21" x14ac:dyDescent="0.2">
      <c r="A20" t="s">
        <v>90</v>
      </c>
      <c r="B20">
        <v>2</v>
      </c>
      <c r="C20">
        <v>5</v>
      </c>
      <c r="D20">
        <v>30</v>
      </c>
      <c r="E20">
        <f t="shared" si="0"/>
        <v>9.1</v>
      </c>
      <c r="G20">
        <v>253097687.722</v>
      </c>
      <c r="H20">
        <v>8522769.8650000002</v>
      </c>
      <c r="I20">
        <v>52743625.409999996</v>
      </c>
      <c r="J20">
        <v>247328229.25</v>
      </c>
      <c r="K20">
        <v>14051861.502</v>
      </c>
      <c r="M20">
        <v>26341190.986000001</v>
      </c>
      <c r="O20">
        <v>592565943.98800004</v>
      </c>
      <c r="Q20">
        <f t="shared" si="5"/>
        <v>1194651308.723</v>
      </c>
      <c r="S20">
        <f t="shared" si="6"/>
        <v>0.48193491234227231</v>
      </c>
      <c r="T20">
        <f t="shared" si="7"/>
        <v>2.2049271443193678E-2</v>
      </c>
      <c r="U20">
        <f t="shared" si="8"/>
        <v>0.49601581621453394</v>
      </c>
    </row>
    <row r="21" spans="1:21" x14ac:dyDescent="0.2">
      <c r="A21" t="s">
        <v>91</v>
      </c>
      <c r="B21">
        <v>2</v>
      </c>
      <c r="C21">
        <v>6</v>
      </c>
      <c r="D21">
        <v>6</v>
      </c>
      <c r="E21">
        <f t="shared" si="0"/>
        <v>9.6999999999999993</v>
      </c>
      <c r="G21">
        <v>269680602.74599999</v>
      </c>
      <c r="H21">
        <v>9257891.0620000008</v>
      </c>
      <c r="I21">
        <v>60468638.821999997</v>
      </c>
      <c r="J21">
        <v>272191708.49699998</v>
      </c>
      <c r="K21">
        <v>15078763.265000001</v>
      </c>
      <c r="M21">
        <v>24080500.090999998</v>
      </c>
      <c r="O21">
        <v>570743126.70700002</v>
      </c>
      <c r="Q21">
        <f t="shared" si="5"/>
        <v>1221501231.1900001</v>
      </c>
      <c r="S21">
        <f t="shared" si="6"/>
        <v>0.51303886430100742</v>
      </c>
      <c r="T21">
        <f t="shared" si="7"/>
        <v>1.9713856585752688E-2</v>
      </c>
      <c r="U21">
        <f t="shared" si="8"/>
        <v>0.46724727911323982</v>
      </c>
    </row>
    <row r="22" spans="1:21" x14ac:dyDescent="0.2">
      <c r="A22" t="s">
        <v>92</v>
      </c>
      <c r="B22">
        <v>2</v>
      </c>
      <c r="C22">
        <v>6</v>
      </c>
      <c r="D22">
        <v>42</v>
      </c>
      <c r="E22">
        <f>(B22-$B$4)*24+(C22-$C$4)+(D22-$D$4)/60</f>
        <v>10.3</v>
      </c>
      <c r="G22">
        <v>283634952.89700001</v>
      </c>
      <c r="H22">
        <v>9805646.9030000009</v>
      </c>
      <c r="I22">
        <v>67953241.022</v>
      </c>
      <c r="J22">
        <v>291527928.301</v>
      </c>
      <c r="K22">
        <v>16525553.294</v>
      </c>
      <c r="M22">
        <v>24043683.824000001</v>
      </c>
      <c r="O22">
        <v>569192164.70299995</v>
      </c>
      <c r="Q22">
        <f t="shared" si="5"/>
        <v>1262683170.944</v>
      </c>
      <c r="S22">
        <f t="shared" si="6"/>
        <v>0.53017838347881963</v>
      </c>
      <c r="T22">
        <f t="shared" si="7"/>
        <v>1.904173935099222E-2</v>
      </c>
      <c r="U22">
        <f t="shared" si="8"/>
        <v>0.45077987717018808</v>
      </c>
    </row>
    <row r="23" spans="1:21" x14ac:dyDescent="0.2">
      <c r="A23" t="s">
        <v>93</v>
      </c>
      <c r="B23">
        <v>2</v>
      </c>
      <c r="C23">
        <v>7</v>
      </c>
      <c r="D23">
        <v>18</v>
      </c>
      <c r="E23">
        <f t="shared" si="0"/>
        <v>10.9</v>
      </c>
      <c r="G23">
        <v>301501423.15100002</v>
      </c>
      <c r="H23">
        <v>11028830.583000001</v>
      </c>
      <c r="I23">
        <v>79081048.327999994</v>
      </c>
      <c r="J23">
        <v>323377319.398</v>
      </c>
      <c r="K23">
        <v>18579304.352000002</v>
      </c>
      <c r="M23">
        <v>22236865.539999999</v>
      </c>
      <c r="O23">
        <v>554105295.20500004</v>
      </c>
      <c r="Q23">
        <f t="shared" si="5"/>
        <v>1309910086.5570002</v>
      </c>
      <c r="S23">
        <f t="shared" si="6"/>
        <v>0.56001395312568969</v>
      </c>
      <c r="T23">
        <f t="shared" si="7"/>
        <v>1.697587167867981E-2</v>
      </c>
      <c r="U23">
        <f t="shared" si="8"/>
        <v>0.42301017519563044</v>
      </c>
    </row>
    <row r="24" spans="1:21" x14ac:dyDescent="0.2">
      <c r="A24" t="s">
        <v>94</v>
      </c>
      <c r="B24">
        <v>2</v>
      </c>
      <c r="C24">
        <v>7</v>
      </c>
      <c r="D24">
        <v>54</v>
      </c>
      <c r="E24">
        <f t="shared" si="0"/>
        <v>11.5</v>
      </c>
      <c r="G24">
        <v>320955364.50999999</v>
      </c>
      <c r="H24">
        <v>11233965.794</v>
      </c>
      <c r="I24">
        <v>88849770.593999997</v>
      </c>
      <c r="J24">
        <v>344112957.616</v>
      </c>
      <c r="K24">
        <v>20146164.385000002</v>
      </c>
      <c r="M24">
        <v>20008657.397999998</v>
      </c>
      <c r="O24">
        <v>546916501.46700001</v>
      </c>
      <c r="Q24">
        <f t="shared" si="5"/>
        <v>1352223381.7639999</v>
      </c>
      <c r="S24">
        <f t="shared" si="6"/>
        <v>0.58074592814285175</v>
      </c>
      <c r="T24">
        <f t="shared" si="7"/>
        <v>1.4796858024965033E-2</v>
      </c>
      <c r="U24">
        <f t="shared" si="8"/>
        <v>0.40445721383218319</v>
      </c>
    </row>
    <row r="25" spans="1:21" x14ac:dyDescent="0.2">
      <c r="A25" t="s">
        <v>95</v>
      </c>
      <c r="B25">
        <v>2</v>
      </c>
      <c r="C25">
        <v>8</v>
      </c>
      <c r="D25">
        <v>31</v>
      </c>
      <c r="E25">
        <f t="shared" si="0"/>
        <v>12.116666666666667</v>
      </c>
      <c r="G25">
        <v>338445577.10100001</v>
      </c>
      <c r="H25">
        <v>11872015.639</v>
      </c>
      <c r="I25">
        <v>100320689.522</v>
      </c>
      <c r="J25">
        <v>374554413.24900001</v>
      </c>
      <c r="K25">
        <v>20794578.550999999</v>
      </c>
      <c r="M25">
        <v>18277706.857999999</v>
      </c>
      <c r="O25">
        <v>530906074.70599997</v>
      </c>
      <c r="Q25">
        <f t="shared" si="5"/>
        <v>1395171055.6259999</v>
      </c>
      <c r="S25">
        <f t="shared" si="6"/>
        <v>0.60636813719047067</v>
      </c>
      <c r="T25">
        <f t="shared" si="7"/>
        <v>1.3100692409217855E-2</v>
      </c>
      <c r="U25">
        <f t="shared" si="8"/>
        <v>0.38053117040031159</v>
      </c>
    </row>
    <row r="26" spans="1:21" x14ac:dyDescent="0.2">
      <c r="A26" t="s">
        <v>96</v>
      </c>
      <c r="B26">
        <v>2</v>
      </c>
      <c r="C26">
        <v>12</v>
      </c>
      <c r="D26">
        <v>25</v>
      </c>
      <c r="E26">
        <f t="shared" si="0"/>
        <v>16.016666666666666</v>
      </c>
      <c r="F26" s="2"/>
      <c r="G26">
        <v>347700342.97399998</v>
      </c>
      <c r="H26">
        <v>11292130.152000001</v>
      </c>
      <c r="I26">
        <v>146836983.83199999</v>
      </c>
      <c r="J26">
        <v>439050623.49199998</v>
      </c>
      <c r="K26">
        <v>26147965.73</v>
      </c>
      <c r="M26">
        <v>10809649.801999999</v>
      </c>
      <c r="O26">
        <v>402377411.11500001</v>
      </c>
      <c r="Q26">
        <f t="shared" si="5"/>
        <v>1384215107.0970001</v>
      </c>
      <c r="S26">
        <f t="shared" si="6"/>
        <v>0.70150082974925532</v>
      </c>
      <c r="T26">
        <f t="shared" si="7"/>
        <v>7.8092268655196116E-3</v>
      </c>
      <c r="U26">
        <f t="shared" si="8"/>
        <v>0.29068994338522491</v>
      </c>
    </row>
    <row r="27" spans="1:21" x14ac:dyDescent="0.2">
      <c r="A27" t="s">
        <v>97</v>
      </c>
      <c r="B27">
        <v>2</v>
      </c>
      <c r="C27">
        <v>18</v>
      </c>
      <c r="D27">
        <v>27</v>
      </c>
      <c r="E27">
        <f t="shared" si="0"/>
        <v>22.05</v>
      </c>
      <c r="G27">
        <v>390083152.47399998</v>
      </c>
      <c r="H27">
        <v>12417586.311000001</v>
      </c>
      <c r="I27">
        <v>247548702.766</v>
      </c>
      <c r="J27">
        <v>590171624.32000005</v>
      </c>
      <c r="K27">
        <v>34907286.188000001</v>
      </c>
      <c r="M27">
        <v>4385406.1770000001</v>
      </c>
      <c r="O27">
        <v>254542483.993</v>
      </c>
      <c r="Q27">
        <f t="shared" si="5"/>
        <v>1534056242.2290001</v>
      </c>
      <c r="S27">
        <f t="shared" si="6"/>
        <v>0.83121356111834921</v>
      </c>
      <c r="T27">
        <f t="shared" si="7"/>
        <v>2.8586997375193743E-3</v>
      </c>
      <c r="U27">
        <f t="shared" si="8"/>
        <v>0.16592773914413142</v>
      </c>
    </row>
    <row r="28" spans="1:21" x14ac:dyDescent="0.2">
      <c r="A28" t="s">
        <v>98</v>
      </c>
      <c r="B28">
        <v>3</v>
      </c>
      <c r="C28">
        <v>8</v>
      </c>
      <c r="D28">
        <v>57</v>
      </c>
      <c r="E28">
        <f t="shared" si="0"/>
        <v>36.549999999999997</v>
      </c>
      <c r="G28">
        <v>363429846.50300002</v>
      </c>
      <c r="H28">
        <v>12222907.987</v>
      </c>
      <c r="I28">
        <v>469535394.11699998</v>
      </c>
      <c r="J28">
        <v>751593108.45599997</v>
      </c>
      <c r="K28">
        <v>46449337.633000001</v>
      </c>
      <c r="M28">
        <v>404594.11099999998</v>
      </c>
      <c r="O28">
        <v>81800306.588</v>
      </c>
      <c r="Q28">
        <f t="shared" ref="Q28:Q29" si="9">SUM(G28:O28)</f>
        <v>1725435495.395</v>
      </c>
      <c r="S28">
        <f t="shared" ref="S28:S29" si="10">SUM(G28:K28)/Q28</f>
        <v>0.95235701310283916</v>
      </c>
      <c r="T28">
        <f t="shared" ref="T28:T29" si="11">SUM(M28/Q28)</f>
        <v>2.3448811159838647E-4</v>
      </c>
      <c r="U28">
        <f t="shared" ref="U28:U29" si="12">O28/Q28</f>
        <v>4.7408498785562331E-2</v>
      </c>
    </row>
    <row r="29" spans="1:21" x14ac:dyDescent="0.2">
      <c r="A29" t="s">
        <v>99</v>
      </c>
      <c r="B29">
        <v>3</v>
      </c>
      <c r="C29">
        <v>12</v>
      </c>
      <c r="D29">
        <v>50</v>
      </c>
      <c r="E29">
        <f t="shared" si="0"/>
        <v>40.43333333333333</v>
      </c>
      <c r="G29">
        <v>354695876.69599998</v>
      </c>
      <c r="H29">
        <v>11760583.032</v>
      </c>
      <c r="I29">
        <v>520229118.56900001</v>
      </c>
      <c r="J29">
        <v>760324921.64999998</v>
      </c>
      <c r="K29">
        <v>43596974.204000004</v>
      </c>
      <c r="M29">
        <v>196125.4</v>
      </c>
      <c r="O29">
        <v>58979638.388999999</v>
      </c>
      <c r="Q29">
        <f t="shared" si="9"/>
        <v>1749783237.9400001</v>
      </c>
      <c r="S29">
        <f t="shared" si="10"/>
        <v>0.96618108888809162</v>
      </c>
      <c r="T29">
        <f t="shared" si="11"/>
        <v>1.1208554051008981E-4</v>
      </c>
      <c r="U29">
        <f t="shared" si="12"/>
        <v>3.3706825571398237E-2</v>
      </c>
    </row>
    <row r="30" spans="1:21" x14ac:dyDescent="0.2">
      <c r="A30" t="s">
        <v>100</v>
      </c>
      <c r="B30">
        <v>3</v>
      </c>
      <c r="C30">
        <v>18</v>
      </c>
      <c r="D30">
        <v>52</v>
      </c>
      <c r="E30">
        <f t="shared" si="0"/>
        <v>46.466666666666669</v>
      </c>
      <c r="G30">
        <v>318149918.74900001</v>
      </c>
      <c r="H30">
        <v>10586681.016000001</v>
      </c>
      <c r="I30">
        <v>574222001.77100003</v>
      </c>
      <c r="J30">
        <v>755781454.574</v>
      </c>
      <c r="K30">
        <v>42932416.961999997</v>
      </c>
      <c r="O30">
        <v>32814034.357999999</v>
      </c>
      <c r="Q30">
        <f t="shared" ref="Q30" si="13">SUM(G30:O30)</f>
        <v>1734486507.4300001</v>
      </c>
      <c r="S30">
        <f t="shared" ref="S30" si="14">SUM(G30:K30)/Q30</f>
        <v>0.98108141273083704</v>
      </c>
      <c r="T30">
        <f t="shared" ref="T30" si="15">SUM(M30/Q30)</f>
        <v>0</v>
      </c>
      <c r="U30">
        <f t="shared" ref="U30" si="16">O30/Q30</f>
        <v>1.8918587269162887E-2</v>
      </c>
    </row>
    <row r="31" spans="1:21" x14ac:dyDescent="0.2">
      <c r="A31" t="s">
        <v>101</v>
      </c>
      <c r="B31">
        <v>4</v>
      </c>
      <c r="C31">
        <v>9</v>
      </c>
      <c r="D31">
        <v>4</v>
      </c>
      <c r="E31">
        <f t="shared" si="0"/>
        <v>60.666666666666664</v>
      </c>
      <c r="G31">
        <v>247934098.70899999</v>
      </c>
      <c r="H31">
        <v>8383407.0420000004</v>
      </c>
      <c r="I31">
        <v>639988897.54799998</v>
      </c>
      <c r="J31">
        <v>702094664.25100005</v>
      </c>
      <c r="K31">
        <v>39524022.866999999</v>
      </c>
      <c r="O31">
        <v>9542122.9560000002</v>
      </c>
      <c r="Q31">
        <f t="shared" ref="Q31" si="17">SUM(G31:O31)</f>
        <v>1647467213.3730004</v>
      </c>
      <c r="S31">
        <f t="shared" ref="S31" si="18">SUM(G31:K31)/Q31</f>
        <v>0.99420800433626622</v>
      </c>
      <c r="T31">
        <f t="shared" ref="T31" si="19">SUM(M31/Q31)</f>
        <v>0</v>
      </c>
      <c r="U31">
        <f t="shared" ref="U31" si="20">O31/Q31</f>
        <v>5.7919956637337844E-3</v>
      </c>
    </row>
    <row r="32" spans="1:21" x14ac:dyDescent="0.2">
      <c r="A32" t="s">
        <v>102</v>
      </c>
      <c r="B32">
        <v>4</v>
      </c>
      <c r="C32">
        <v>23</v>
      </c>
      <c r="D32">
        <v>21</v>
      </c>
      <c r="E32">
        <f t="shared" si="0"/>
        <v>74.95</v>
      </c>
      <c r="G32">
        <v>66831761.211999997</v>
      </c>
      <c r="H32">
        <v>6790207.0599999996</v>
      </c>
      <c r="I32">
        <v>328694183.36000001</v>
      </c>
      <c r="J32">
        <v>344049624.61699998</v>
      </c>
      <c r="K32">
        <v>45355723.443000004</v>
      </c>
      <c r="Q32">
        <f t="shared" ref="Q32" si="21">SUM(G32:O32)</f>
        <v>791721499.69200003</v>
      </c>
      <c r="S32">
        <f t="shared" ref="S32" si="22">SUM(G32:K32)/Q32</f>
        <v>1</v>
      </c>
      <c r="T32">
        <f t="shared" ref="T32" si="23">SUM(M32/Q32)</f>
        <v>0</v>
      </c>
      <c r="U32">
        <f t="shared" ref="U32" si="24">O32/Q32</f>
        <v>0</v>
      </c>
    </row>
    <row r="35" spans="1:21" x14ac:dyDescent="0.2">
      <c r="A35" t="s">
        <v>186</v>
      </c>
    </row>
    <row r="36" spans="1:21" ht="16" x14ac:dyDescent="0.2">
      <c r="A36" s="3"/>
      <c r="B36" s="3"/>
      <c r="C36" s="3"/>
      <c r="D36" s="3"/>
      <c r="E36" s="3"/>
      <c r="F36" s="3"/>
      <c r="G36" s="3" t="s">
        <v>42</v>
      </c>
      <c r="H36" s="3"/>
      <c r="I36" t="s">
        <v>45</v>
      </c>
      <c r="J36" t="s">
        <v>11</v>
      </c>
      <c r="K36" s="3" t="s">
        <v>11</v>
      </c>
      <c r="M36" t="s">
        <v>2</v>
      </c>
      <c r="O36" s="3" t="s">
        <v>46</v>
      </c>
    </row>
    <row r="37" spans="1:21" ht="16" x14ac:dyDescent="0.2">
      <c r="A37" s="3"/>
      <c r="B37" s="3"/>
      <c r="C37" s="3"/>
      <c r="D37" s="3"/>
      <c r="E37" s="3" t="s">
        <v>43</v>
      </c>
      <c r="F37" s="3"/>
      <c r="G37" s="3">
        <v>2</v>
      </c>
      <c r="H37" s="3">
        <v>1</v>
      </c>
      <c r="I37">
        <v>2</v>
      </c>
      <c r="J37" s="3">
        <v>2</v>
      </c>
      <c r="K37" s="3">
        <v>1</v>
      </c>
      <c r="M37" s="3">
        <v>1</v>
      </c>
      <c r="O37" s="3">
        <v>1</v>
      </c>
    </row>
    <row r="38" spans="1:21" ht="16" x14ac:dyDescent="0.2">
      <c r="A38" s="3" t="s">
        <v>44</v>
      </c>
      <c r="B38" s="3" t="s">
        <v>47</v>
      </c>
      <c r="C38" s="3" t="s">
        <v>15</v>
      </c>
      <c r="D38" s="3" t="s">
        <v>16</v>
      </c>
      <c r="E38" s="3" t="s">
        <v>10</v>
      </c>
      <c r="F38" s="3"/>
      <c r="G38" s="3">
        <v>346.66289999999998</v>
      </c>
      <c r="H38" s="3">
        <v>692.31849999999997</v>
      </c>
      <c r="I38">
        <v>367.17630000000003</v>
      </c>
      <c r="J38" s="1">
        <v>352.66289999999998</v>
      </c>
      <c r="K38" s="3">
        <v>704.31799999999998</v>
      </c>
      <c r="M38" s="3">
        <v>892.33280000000002</v>
      </c>
      <c r="O38" s="4">
        <v>844.32452999999998</v>
      </c>
      <c r="Q38" t="s">
        <v>0</v>
      </c>
      <c r="S38" t="s">
        <v>1</v>
      </c>
      <c r="T38" t="s">
        <v>2</v>
      </c>
      <c r="U38" t="s">
        <v>3</v>
      </c>
    </row>
    <row r="39" spans="1:21" ht="16" x14ac:dyDescent="0.2">
      <c r="A39" s="3"/>
      <c r="B39" s="3">
        <v>1</v>
      </c>
      <c r="C39" s="3">
        <v>20</v>
      </c>
      <c r="D39" s="3">
        <v>29</v>
      </c>
      <c r="E39" s="3">
        <v>0</v>
      </c>
      <c r="F39" s="3"/>
      <c r="G39" s="3"/>
      <c r="H39" s="3"/>
      <c r="J39" s="1"/>
      <c r="K39" s="3"/>
      <c r="M39" s="3"/>
      <c r="O39" s="4"/>
      <c r="S39">
        <v>1</v>
      </c>
      <c r="T39">
        <v>0</v>
      </c>
      <c r="U39">
        <v>0</v>
      </c>
    </row>
    <row r="40" spans="1:21" ht="16" x14ac:dyDescent="0.2">
      <c r="A40" s="6" t="s">
        <v>187</v>
      </c>
      <c r="B40" s="6">
        <v>1</v>
      </c>
      <c r="C40" s="6">
        <v>20</v>
      </c>
      <c r="D40" s="6">
        <v>31</v>
      </c>
      <c r="E40">
        <f>(B40-$B$39)*24+(C40-$C$39)+(D40-$D$39)/60</f>
        <v>3.3333333333333333E-2</v>
      </c>
      <c r="F40" s="6"/>
      <c r="G40">
        <v>1329658458.7739999</v>
      </c>
      <c r="H40">
        <v>39588894.556000002</v>
      </c>
      <c r="I40">
        <v>5132200.7429999998</v>
      </c>
      <c r="J40">
        <v>39107948.920999996</v>
      </c>
      <c r="K40">
        <v>2279361.0490000001</v>
      </c>
      <c r="M40">
        <v>15005526.901000001</v>
      </c>
      <c r="O40">
        <v>96337679.849999994</v>
      </c>
      <c r="Q40">
        <f>SUM(G40:O40)</f>
        <v>1527110070.7939999</v>
      </c>
      <c r="S40">
        <f>SUM(G40:K40)/Q40</f>
        <v>0.92708894474573889</v>
      </c>
      <c r="T40">
        <f>SUM(M40/Q40)</f>
        <v>9.8260938670898055E-3</v>
      </c>
      <c r="U40">
        <f>O40/Q40</f>
        <v>6.3084961387171345E-2</v>
      </c>
    </row>
    <row r="41" spans="1:21" ht="16" x14ac:dyDescent="0.2">
      <c r="A41" s="6" t="s">
        <v>188</v>
      </c>
      <c r="B41" s="6">
        <v>1</v>
      </c>
      <c r="C41" s="6">
        <v>21</v>
      </c>
      <c r="D41" s="6">
        <v>8</v>
      </c>
      <c r="E41">
        <f>(B41-$B$39)*24+(C41-$C$39)+(D41-$D$39)/60</f>
        <v>0.65</v>
      </c>
      <c r="F41" s="3"/>
      <c r="G41">
        <v>100144708.142</v>
      </c>
      <c r="H41">
        <v>2867933.4589999998</v>
      </c>
      <c r="I41">
        <v>8383120.6299999999</v>
      </c>
      <c r="J41">
        <v>97524684.538000003</v>
      </c>
      <c r="K41">
        <v>4742681.8039999995</v>
      </c>
      <c r="M41">
        <v>20022369.611000001</v>
      </c>
      <c r="O41">
        <v>637385681.12100005</v>
      </c>
      <c r="Q41">
        <f t="shared" ref="Q41:Q62" si="25">SUM(G41:O41)</f>
        <v>871071179.30500007</v>
      </c>
      <c r="S41">
        <f t="shared" ref="S41:S62" si="26">SUM(G41:K41)/Q41</f>
        <v>0.24528779467078107</v>
      </c>
      <c r="T41">
        <f t="shared" ref="T41:T62" si="27">SUM(M41/Q41)</f>
        <v>2.2985916750196251E-2</v>
      </c>
      <c r="U41">
        <f t="shared" ref="U41:U62" si="28">O41/Q41</f>
        <v>0.73172628857902267</v>
      </c>
    </row>
    <row r="42" spans="1:21" ht="16" x14ac:dyDescent="0.2">
      <c r="A42" s="6" t="s">
        <v>189</v>
      </c>
      <c r="B42" s="6">
        <v>1</v>
      </c>
      <c r="C42" s="6">
        <v>21</v>
      </c>
      <c r="D42" s="6">
        <v>44</v>
      </c>
      <c r="E42">
        <f t="shared" ref="E41:E67" si="29">(B42-$B$39)*24+(C42-$C$39)+(D42-$D$39)/60</f>
        <v>1.25</v>
      </c>
      <c r="F42" s="3"/>
      <c r="G42">
        <v>49944764.348999999</v>
      </c>
      <c r="H42">
        <v>1537410.9580000001</v>
      </c>
      <c r="I42">
        <v>8720287.4539999999</v>
      </c>
      <c r="J42">
        <v>100700635.597</v>
      </c>
      <c r="K42">
        <v>5075129.0669999998</v>
      </c>
      <c r="M42">
        <v>34948630.358000003</v>
      </c>
      <c r="O42">
        <v>684269303.12</v>
      </c>
      <c r="Q42">
        <f t="shared" si="25"/>
        <v>885196160.903</v>
      </c>
      <c r="S42">
        <f t="shared" si="26"/>
        <v>0.18750445918753586</v>
      </c>
      <c r="T42">
        <f t="shared" si="27"/>
        <v>3.9481226762606444E-2</v>
      </c>
      <c r="U42">
        <f t="shared" si="28"/>
        <v>0.77301431404985765</v>
      </c>
    </row>
    <row r="43" spans="1:21" ht="16" x14ac:dyDescent="0.2">
      <c r="A43" s="6" t="s">
        <v>190</v>
      </c>
      <c r="B43" s="6">
        <v>1</v>
      </c>
      <c r="C43" s="6">
        <v>22</v>
      </c>
      <c r="D43" s="6">
        <v>20</v>
      </c>
      <c r="E43">
        <f t="shared" si="29"/>
        <v>1.85</v>
      </c>
      <c r="F43" s="3"/>
      <c r="G43">
        <v>50833022.788999997</v>
      </c>
      <c r="H43">
        <v>1718927.426</v>
      </c>
      <c r="I43">
        <v>9724260.8120000008</v>
      </c>
      <c r="J43">
        <v>100142025.097</v>
      </c>
      <c r="K43">
        <v>5614909.875</v>
      </c>
      <c r="M43">
        <v>39643412.549000002</v>
      </c>
      <c r="O43">
        <v>716361493.67499995</v>
      </c>
      <c r="Q43">
        <f t="shared" si="25"/>
        <v>924038052.22299993</v>
      </c>
      <c r="S43">
        <f t="shared" si="26"/>
        <v>0.1818465652953957</v>
      </c>
      <c r="T43">
        <f t="shared" si="27"/>
        <v>4.2902359327765843E-2</v>
      </c>
      <c r="U43">
        <f t="shared" si="28"/>
        <v>0.77525107537683846</v>
      </c>
    </row>
    <row r="44" spans="1:21" ht="16" x14ac:dyDescent="0.2">
      <c r="A44" s="6" t="s">
        <v>191</v>
      </c>
      <c r="B44" s="6">
        <v>1</v>
      </c>
      <c r="C44" s="6">
        <v>22</v>
      </c>
      <c r="D44" s="6">
        <v>57</v>
      </c>
      <c r="E44">
        <f t="shared" si="29"/>
        <v>2.4666666666666668</v>
      </c>
      <c r="F44" s="3"/>
      <c r="G44">
        <v>62924244.005999997</v>
      </c>
      <c r="H44">
        <v>2063700.1359999999</v>
      </c>
      <c r="I44">
        <v>9874250.3059999999</v>
      </c>
      <c r="J44">
        <v>99064377.108999997</v>
      </c>
      <c r="K44">
        <v>5300814.125</v>
      </c>
      <c r="M44">
        <v>40040905.718000002</v>
      </c>
      <c r="O44">
        <v>708021274.30299997</v>
      </c>
      <c r="Q44">
        <f t="shared" si="25"/>
        <v>927289565.70299995</v>
      </c>
      <c r="S44">
        <f t="shared" si="26"/>
        <v>0.19328092573340183</v>
      </c>
      <c r="T44">
        <f t="shared" si="27"/>
        <v>4.318058479137965E-2</v>
      </c>
      <c r="U44">
        <f t="shared" si="28"/>
        <v>0.76353848947521852</v>
      </c>
    </row>
    <row r="45" spans="1:21" ht="16" x14ac:dyDescent="0.2">
      <c r="A45" s="6" t="s">
        <v>192</v>
      </c>
      <c r="B45" s="6">
        <v>1</v>
      </c>
      <c r="C45" s="6">
        <v>23</v>
      </c>
      <c r="D45" s="6">
        <v>33</v>
      </c>
      <c r="E45">
        <f>(B45-$B$39)*24+(C45-$C$39)+(D45-$D$39)/60</f>
        <v>3.0666666666666669</v>
      </c>
      <c r="F45" s="3"/>
      <c r="G45">
        <v>77693565.008000001</v>
      </c>
      <c r="H45">
        <v>2741038.53</v>
      </c>
      <c r="I45">
        <v>10755057.739</v>
      </c>
      <c r="J45">
        <v>99941661.260000005</v>
      </c>
      <c r="K45">
        <v>5367811.0659999996</v>
      </c>
      <c r="M45">
        <v>36875690.071999997</v>
      </c>
      <c r="O45">
        <v>679224526.046</v>
      </c>
      <c r="Q45">
        <f t="shared" si="25"/>
        <v>912599349.72099996</v>
      </c>
      <c r="S45">
        <f t="shared" si="26"/>
        <v>0.21531807321917742</v>
      </c>
      <c r="T45">
        <f t="shared" si="27"/>
        <v>4.0407315744059688E-2</v>
      </c>
      <c r="U45">
        <f t="shared" si="28"/>
        <v>0.74427461103676296</v>
      </c>
    </row>
    <row r="46" spans="1:21" ht="16" x14ac:dyDescent="0.2">
      <c r="A46" s="6" t="s">
        <v>193</v>
      </c>
      <c r="B46" s="6">
        <v>2</v>
      </c>
      <c r="C46" s="6">
        <v>0</v>
      </c>
      <c r="D46" s="6">
        <v>9</v>
      </c>
      <c r="E46">
        <f t="shared" si="29"/>
        <v>3.6666666666666665</v>
      </c>
      <c r="F46" s="3"/>
      <c r="G46">
        <v>99749693.946999997</v>
      </c>
      <c r="H46">
        <v>3188313.2760000001</v>
      </c>
      <c r="I46">
        <v>12870227.694</v>
      </c>
      <c r="J46">
        <v>105966600.46799999</v>
      </c>
      <c r="K46">
        <v>5833702.267</v>
      </c>
      <c r="M46">
        <v>38765131.200999998</v>
      </c>
      <c r="O46">
        <v>706256767.89100003</v>
      </c>
      <c r="Q46">
        <f t="shared" si="25"/>
        <v>972630436.74399996</v>
      </c>
      <c r="S46">
        <f t="shared" si="26"/>
        <v>0.23401338170533462</v>
      </c>
      <c r="T46">
        <f t="shared" si="27"/>
        <v>3.9855971740686058E-2</v>
      </c>
      <c r="U46">
        <f t="shared" si="28"/>
        <v>0.72613064655397941</v>
      </c>
    </row>
    <row r="47" spans="1:21" ht="16" x14ac:dyDescent="0.2">
      <c r="A47" s="6" t="s">
        <v>194</v>
      </c>
      <c r="B47" s="6">
        <v>2</v>
      </c>
      <c r="C47" s="6">
        <v>0</v>
      </c>
      <c r="D47" s="6">
        <v>45</v>
      </c>
      <c r="E47">
        <f t="shared" si="29"/>
        <v>4.2666666666666666</v>
      </c>
      <c r="F47" s="3"/>
      <c r="G47">
        <v>117877004.058</v>
      </c>
      <c r="H47">
        <v>3906688.892</v>
      </c>
      <c r="I47">
        <v>14621127.411</v>
      </c>
      <c r="J47">
        <v>114762013.037</v>
      </c>
      <c r="K47">
        <v>6256834.7910000002</v>
      </c>
      <c r="M47">
        <v>35234528.511</v>
      </c>
      <c r="O47">
        <v>683042089.83700001</v>
      </c>
      <c r="Q47">
        <f t="shared" si="25"/>
        <v>975700286.53699994</v>
      </c>
      <c r="S47">
        <f t="shared" si="26"/>
        <v>0.26383477768840252</v>
      </c>
      <c r="T47">
        <f t="shared" si="27"/>
        <v>3.6112040753883551E-2</v>
      </c>
      <c r="U47">
        <f t="shared" si="28"/>
        <v>0.70005318155771401</v>
      </c>
    </row>
    <row r="48" spans="1:21" ht="16" x14ac:dyDescent="0.2">
      <c r="A48" s="6" t="s">
        <v>195</v>
      </c>
      <c r="B48" s="6">
        <v>2</v>
      </c>
      <c r="C48" s="6">
        <v>1</v>
      </c>
      <c r="D48" s="6">
        <v>21</v>
      </c>
      <c r="E48">
        <f t="shared" si="29"/>
        <v>4.8666666666666663</v>
      </c>
      <c r="F48" s="3"/>
      <c r="G48">
        <v>136981271.46399999</v>
      </c>
      <c r="H48">
        <v>4352407.25</v>
      </c>
      <c r="I48">
        <v>17299152.688000001</v>
      </c>
      <c r="J48">
        <v>125570406.346</v>
      </c>
      <c r="K48">
        <v>7264824.2560000001</v>
      </c>
      <c r="M48">
        <v>33712335.284000002</v>
      </c>
      <c r="O48">
        <v>676071544.73500001</v>
      </c>
      <c r="Q48">
        <f t="shared" si="25"/>
        <v>1001251942.023</v>
      </c>
      <c r="S48">
        <f t="shared" si="26"/>
        <v>0.29110361715263927</v>
      </c>
      <c r="T48">
        <f t="shared" si="27"/>
        <v>3.3670182168021791E-2</v>
      </c>
      <c r="U48">
        <f t="shared" si="28"/>
        <v>0.67522620067933892</v>
      </c>
    </row>
    <row r="49" spans="1:21" ht="16" x14ac:dyDescent="0.2">
      <c r="A49" s="6" t="s">
        <v>196</v>
      </c>
      <c r="B49" s="6">
        <v>2</v>
      </c>
      <c r="C49" s="6">
        <v>1</v>
      </c>
      <c r="D49" s="6">
        <v>58</v>
      </c>
      <c r="E49">
        <f t="shared" si="29"/>
        <v>5.4833333333333334</v>
      </c>
      <c r="F49" s="3"/>
      <c r="G49">
        <v>149543306.792</v>
      </c>
      <c r="H49">
        <v>4949675.2580000004</v>
      </c>
      <c r="I49">
        <v>19800163.754999999</v>
      </c>
      <c r="J49">
        <v>138467909.47099999</v>
      </c>
      <c r="K49">
        <v>7720490.3480000002</v>
      </c>
      <c r="M49">
        <v>31796461.081999999</v>
      </c>
      <c r="O49">
        <v>666862244.62100005</v>
      </c>
      <c r="Q49">
        <f t="shared" si="25"/>
        <v>1019140251.327</v>
      </c>
      <c r="S49">
        <f t="shared" si="26"/>
        <v>0.3144626514424369</v>
      </c>
      <c r="T49">
        <f t="shared" si="27"/>
        <v>3.1199298664338425E-2</v>
      </c>
      <c r="U49">
        <f t="shared" si="28"/>
        <v>0.65433804989322464</v>
      </c>
    </row>
    <row r="50" spans="1:21" ht="16" x14ac:dyDescent="0.2">
      <c r="A50" s="6" t="s">
        <v>197</v>
      </c>
      <c r="B50" s="6">
        <v>2</v>
      </c>
      <c r="C50" s="6">
        <v>2</v>
      </c>
      <c r="D50" s="6">
        <v>34</v>
      </c>
      <c r="E50">
        <f t="shared" si="29"/>
        <v>6.083333333333333</v>
      </c>
      <c r="F50" s="3"/>
      <c r="G50">
        <v>170548815.30399999</v>
      </c>
      <c r="H50">
        <v>5842129.1160000004</v>
      </c>
      <c r="I50">
        <v>24210309.884</v>
      </c>
      <c r="J50">
        <v>154202177.53999999</v>
      </c>
      <c r="K50">
        <v>8583892.0399999991</v>
      </c>
      <c r="M50">
        <v>31882858.482999999</v>
      </c>
      <c r="O50">
        <v>644096391.20299995</v>
      </c>
      <c r="Q50">
        <f t="shared" si="25"/>
        <v>1039366573.5699999</v>
      </c>
      <c r="S50">
        <f t="shared" si="26"/>
        <v>0.34962383159566401</v>
      </c>
      <c r="T50">
        <f t="shared" si="27"/>
        <v>3.0675277898816064E-2</v>
      </c>
      <c r="U50">
        <f t="shared" si="28"/>
        <v>0.61970089050551991</v>
      </c>
    </row>
    <row r="51" spans="1:21" ht="16" x14ac:dyDescent="0.2">
      <c r="A51" s="6" t="s">
        <v>198</v>
      </c>
      <c r="B51" s="6">
        <v>2</v>
      </c>
      <c r="C51" s="6">
        <v>3</v>
      </c>
      <c r="D51" s="6">
        <v>10</v>
      </c>
      <c r="E51">
        <f t="shared" si="29"/>
        <v>6.6833333333333336</v>
      </c>
      <c r="F51" s="3"/>
      <c r="G51">
        <v>185770231.64300001</v>
      </c>
      <c r="H51">
        <v>5894323.9819999998</v>
      </c>
      <c r="I51">
        <v>28722214.513999999</v>
      </c>
      <c r="J51">
        <v>170371117.984</v>
      </c>
      <c r="K51">
        <v>9298819.2819999997</v>
      </c>
      <c r="M51">
        <v>27236671.261999998</v>
      </c>
      <c r="O51">
        <v>619397520.89999998</v>
      </c>
      <c r="Q51">
        <f t="shared" si="25"/>
        <v>1046690899.567</v>
      </c>
      <c r="S51">
        <f t="shared" si="26"/>
        <v>0.38221093502436809</v>
      </c>
      <c r="T51">
        <f t="shared" si="27"/>
        <v>2.6021694918019627E-2</v>
      </c>
      <c r="U51">
        <f t="shared" si="28"/>
        <v>0.59176737005761226</v>
      </c>
    </row>
    <row r="52" spans="1:21" ht="16" x14ac:dyDescent="0.2">
      <c r="A52" s="6" t="s">
        <v>199</v>
      </c>
      <c r="B52" s="6">
        <v>2</v>
      </c>
      <c r="C52" s="6">
        <v>3</v>
      </c>
      <c r="D52" s="6">
        <v>46</v>
      </c>
      <c r="E52">
        <f t="shared" si="29"/>
        <v>7.2833333333333332</v>
      </c>
      <c r="F52" s="3"/>
      <c r="G52">
        <v>199602480.09599999</v>
      </c>
      <c r="H52">
        <v>6923391.398</v>
      </c>
      <c r="I52">
        <v>33376698.600000001</v>
      </c>
      <c r="J52">
        <v>186460159.80700001</v>
      </c>
      <c r="K52">
        <v>10434791.179</v>
      </c>
      <c r="M52">
        <v>26355892.346999999</v>
      </c>
      <c r="O52">
        <v>624912370.35300004</v>
      </c>
      <c r="Q52">
        <f t="shared" si="25"/>
        <v>1088065783.7800002</v>
      </c>
      <c r="S52">
        <f t="shared" si="26"/>
        <v>0.40144403729206657</v>
      </c>
      <c r="T52">
        <f t="shared" si="27"/>
        <v>2.4222701182127226E-2</v>
      </c>
      <c r="U52">
        <f t="shared" si="28"/>
        <v>0.5743332615258061</v>
      </c>
    </row>
    <row r="53" spans="1:21" ht="16" x14ac:dyDescent="0.2">
      <c r="A53" s="6" t="s">
        <v>200</v>
      </c>
      <c r="B53" s="6">
        <v>2</v>
      </c>
      <c r="C53" s="6">
        <v>4</v>
      </c>
      <c r="D53" s="6">
        <v>22</v>
      </c>
      <c r="E53">
        <f t="shared" si="29"/>
        <v>7.8833333333333337</v>
      </c>
      <c r="F53" s="3"/>
      <c r="G53">
        <v>224788826.472</v>
      </c>
      <c r="H53">
        <v>7352872.6129999999</v>
      </c>
      <c r="I53">
        <v>40268581.534000002</v>
      </c>
      <c r="J53">
        <v>212807737.16499999</v>
      </c>
      <c r="K53">
        <v>11746852.359999999</v>
      </c>
      <c r="M53">
        <v>24112217.671999998</v>
      </c>
      <c r="O53">
        <v>617882149.93499994</v>
      </c>
      <c r="Q53">
        <f t="shared" si="25"/>
        <v>1138959237.7509999</v>
      </c>
      <c r="S53">
        <f t="shared" si="26"/>
        <v>0.43633244603670956</v>
      </c>
      <c r="T53">
        <f t="shared" si="27"/>
        <v>2.1170395632079179E-2</v>
      </c>
      <c r="U53">
        <f t="shared" si="28"/>
        <v>0.54249715833121126</v>
      </c>
    </row>
    <row r="54" spans="1:21" ht="16" x14ac:dyDescent="0.2">
      <c r="A54" s="6" t="s">
        <v>201</v>
      </c>
      <c r="B54" s="6">
        <v>2</v>
      </c>
      <c r="C54" s="6">
        <v>4</v>
      </c>
      <c r="D54" s="6">
        <v>59</v>
      </c>
      <c r="E54">
        <f t="shared" si="29"/>
        <v>8.5</v>
      </c>
      <c r="F54" s="3"/>
      <c r="G54">
        <v>243819119.42899999</v>
      </c>
      <c r="H54">
        <v>8492418.9460000005</v>
      </c>
      <c r="I54">
        <v>46815546.384999998</v>
      </c>
      <c r="J54">
        <v>237123213.89399999</v>
      </c>
      <c r="K54">
        <v>13009956.526000001</v>
      </c>
      <c r="M54">
        <v>22573555.866</v>
      </c>
      <c r="O54">
        <v>596078720.22800004</v>
      </c>
      <c r="Q54">
        <f t="shared" si="25"/>
        <v>1167912531.2740002</v>
      </c>
      <c r="S54">
        <f t="shared" si="26"/>
        <v>0.47029228685546126</v>
      </c>
      <c r="T54">
        <f t="shared" si="27"/>
        <v>1.9328121979628021E-2</v>
      </c>
      <c r="U54">
        <f t="shared" si="28"/>
        <v>0.51037959116491061</v>
      </c>
    </row>
    <row r="55" spans="1:21" ht="16" x14ac:dyDescent="0.2">
      <c r="A55" s="6" t="s">
        <v>202</v>
      </c>
      <c r="B55" s="6">
        <v>2</v>
      </c>
      <c r="C55" s="6">
        <v>5</v>
      </c>
      <c r="D55" s="6">
        <v>35</v>
      </c>
      <c r="E55">
        <f t="shared" si="29"/>
        <v>9.1</v>
      </c>
      <c r="F55" s="3"/>
      <c r="G55">
        <v>255117281.933</v>
      </c>
      <c r="H55">
        <v>8583750.8540000003</v>
      </c>
      <c r="I55">
        <v>53520584.483999997</v>
      </c>
      <c r="J55">
        <v>250626555.14700001</v>
      </c>
      <c r="K55">
        <v>14121373.535</v>
      </c>
      <c r="M55">
        <v>20715135.465999998</v>
      </c>
      <c r="O55">
        <v>579514698.54799998</v>
      </c>
      <c r="Q55">
        <f t="shared" si="25"/>
        <v>1182199379.967</v>
      </c>
      <c r="S55">
        <f t="shared" si="26"/>
        <v>0.49227698458888136</v>
      </c>
      <c r="T55">
        <f t="shared" si="27"/>
        <v>1.7522539613054309E-2</v>
      </c>
      <c r="U55">
        <f t="shared" si="28"/>
        <v>0.49020047579806425</v>
      </c>
    </row>
    <row r="56" spans="1:21" ht="16" x14ac:dyDescent="0.2">
      <c r="A56" s="6" t="s">
        <v>203</v>
      </c>
      <c r="B56" s="6">
        <v>2</v>
      </c>
      <c r="C56" s="6">
        <v>6</v>
      </c>
      <c r="D56" s="6">
        <v>11</v>
      </c>
      <c r="E56">
        <f t="shared" si="29"/>
        <v>9.6999999999999993</v>
      </c>
      <c r="F56" s="3"/>
      <c r="G56">
        <v>277509204.17799997</v>
      </c>
      <c r="H56">
        <v>9868723.9680000003</v>
      </c>
      <c r="I56">
        <v>61250272.016999997</v>
      </c>
      <c r="J56">
        <v>277140057.778</v>
      </c>
      <c r="K56">
        <v>15650611.028000001</v>
      </c>
      <c r="M56">
        <v>20139750.155999999</v>
      </c>
      <c r="O56">
        <v>584627578.24199998</v>
      </c>
      <c r="Q56">
        <f t="shared" si="25"/>
        <v>1246186197.3670001</v>
      </c>
      <c r="S56">
        <f t="shared" si="26"/>
        <v>0.51470548327707322</v>
      </c>
      <c r="T56">
        <f t="shared" si="27"/>
        <v>1.6161108346852339E-2</v>
      </c>
      <c r="U56">
        <f t="shared" si="28"/>
        <v>0.46913340837607431</v>
      </c>
    </row>
    <row r="57" spans="1:21" ht="16" x14ac:dyDescent="0.2">
      <c r="A57" s="6" t="s">
        <v>204</v>
      </c>
      <c r="B57" s="6">
        <v>2</v>
      </c>
      <c r="C57" s="6">
        <v>6</v>
      </c>
      <c r="D57" s="6">
        <v>47</v>
      </c>
      <c r="E57">
        <f t="shared" si="29"/>
        <v>10.3</v>
      </c>
      <c r="F57" s="3"/>
      <c r="G57">
        <v>299460694.63599998</v>
      </c>
      <c r="H57">
        <v>10474893.278999999</v>
      </c>
      <c r="I57">
        <v>72045102.848000005</v>
      </c>
      <c r="J57">
        <v>306467941.46499997</v>
      </c>
      <c r="K57">
        <v>17713850.728999998</v>
      </c>
      <c r="M57">
        <v>19622660.934</v>
      </c>
      <c r="O57">
        <v>564170159.18799996</v>
      </c>
      <c r="Q57">
        <f t="shared" si="25"/>
        <v>1289955303.079</v>
      </c>
      <c r="S57">
        <f t="shared" si="26"/>
        <v>0.54743174532594852</v>
      </c>
      <c r="T57">
        <f t="shared" si="27"/>
        <v>1.5211892138559053E-2</v>
      </c>
      <c r="U57">
        <f t="shared" si="28"/>
        <v>0.43735636253549232</v>
      </c>
    </row>
    <row r="58" spans="1:21" ht="16" x14ac:dyDescent="0.2">
      <c r="A58" s="6" t="s">
        <v>205</v>
      </c>
      <c r="B58" s="6">
        <v>2</v>
      </c>
      <c r="C58" s="6">
        <v>7</v>
      </c>
      <c r="D58" s="6">
        <v>23</v>
      </c>
      <c r="E58">
        <f t="shared" si="29"/>
        <v>10.9</v>
      </c>
      <c r="F58" s="3"/>
      <c r="G58">
        <v>302925027.25400001</v>
      </c>
      <c r="H58">
        <v>10951665.620999999</v>
      </c>
      <c r="I58">
        <v>77604535.248999998</v>
      </c>
      <c r="J58">
        <v>316963118.52200001</v>
      </c>
      <c r="K58">
        <v>18283929.789000001</v>
      </c>
      <c r="M58">
        <v>18122973.842</v>
      </c>
      <c r="O58">
        <v>546307268.31799996</v>
      </c>
      <c r="Q58">
        <f t="shared" si="25"/>
        <v>1291158518.595</v>
      </c>
      <c r="S58">
        <f t="shared" si="26"/>
        <v>0.562849770937347</v>
      </c>
      <c r="T58">
        <f t="shared" si="27"/>
        <v>1.4036211341207644E-2</v>
      </c>
      <c r="U58">
        <f t="shared" si="28"/>
        <v>0.42311401772144536</v>
      </c>
    </row>
    <row r="59" spans="1:21" ht="16" x14ac:dyDescent="0.2">
      <c r="A59" s="6" t="s">
        <v>206</v>
      </c>
      <c r="B59" s="6">
        <v>2</v>
      </c>
      <c r="C59" s="6">
        <v>8</v>
      </c>
      <c r="D59" s="6">
        <v>0</v>
      </c>
      <c r="E59">
        <f t="shared" si="29"/>
        <v>11.516666666666667</v>
      </c>
      <c r="F59" s="6"/>
      <c r="G59">
        <v>324978226.08499998</v>
      </c>
      <c r="H59">
        <v>11485349.846999999</v>
      </c>
      <c r="I59">
        <v>89819833.457000002</v>
      </c>
      <c r="J59">
        <v>342141323.59399998</v>
      </c>
      <c r="K59">
        <v>19815464.269000001</v>
      </c>
      <c r="M59">
        <v>15150767.301000001</v>
      </c>
      <c r="O59">
        <v>525858267.75300002</v>
      </c>
      <c r="Q59">
        <f t="shared" si="25"/>
        <v>1329249232.3060002</v>
      </c>
      <c r="S59">
        <f t="shared" si="26"/>
        <v>0.59299654127657453</v>
      </c>
      <c r="T59">
        <f t="shared" si="27"/>
        <v>1.1397988377782425E-2</v>
      </c>
      <c r="U59">
        <f t="shared" si="28"/>
        <v>0.39560547034564292</v>
      </c>
    </row>
    <row r="60" spans="1:21" ht="16" x14ac:dyDescent="0.2">
      <c r="A60" s="6" t="s">
        <v>207</v>
      </c>
      <c r="B60" s="6">
        <v>2</v>
      </c>
      <c r="C60" s="6">
        <v>8</v>
      </c>
      <c r="D60" s="6">
        <v>36</v>
      </c>
      <c r="E60">
        <f t="shared" si="29"/>
        <v>12.116666666666667</v>
      </c>
      <c r="F60" s="6"/>
      <c r="G60">
        <v>342104251.48799998</v>
      </c>
      <c r="H60">
        <v>12634083.526000001</v>
      </c>
      <c r="I60">
        <v>99487608.180999994</v>
      </c>
      <c r="J60">
        <v>366909936.74900001</v>
      </c>
      <c r="K60">
        <v>21301977.800999999</v>
      </c>
      <c r="M60">
        <v>15241603.799000001</v>
      </c>
      <c r="O60">
        <v>522167607.82499999</v>
      </c>
      <c r="Q60">
        <f t="shared" si="25"/>
        <v>1379847069.369</v>
      </c>
      <c r="S60">
        <f t="shared" si="26"/>
        <v>0.61052987424921257</v>
      </c>
      <c r="T60">
        <f t="shared" si="27"/>
        <v>1.1045864529008959E-2</v>
      </c>
      <c r="U60">
        <f t="shared" si="28"/>
        <v>0.37842426122177852</v>
      </c>
    </row>
    <row r="61" spans="1:21" ht="16" x14ac:dyDescent="0.2">
      <c r="A61" s="6" t="s">
        <v>208</v>
      </c>
      <c r="B61" s="6">
        <v>2</v>
      </c>
      <c r="C61" s="6">
        <v>12</v>
      </c>
      <c r="D61" s="6">
        <v>30</v>
      </c>
      <c r="E61">
        <f t="shared" si="29"/>
        <v>16.016666666666666</v>
      </c>
      <c r="F61" s="6"/>
      <c r="G61">
        <v>376119958.70300001</v>
      </c>
      <c r="H61">
        <v>11612238.636</v>
      </c>
      <c r="I61">
        <v>151185462.45699999</v>
      </c>
      <c r="J61">
        <v>439475639.15799999</v>
      </c>
      <c r="K61">
        <v>25172215.388</v>
      </c>
      <c r="M61">
        <v>8197638.3499999996</v>
      </c>
      <c r="O61">
        <v>397351969.88300002</v>
      </c>
      <c r="Q61">
        <f t="shared" si="25"/>
        <v>1409115122.575</v>
      </c>
      <c r="S61">
        <f t="shared" si="26"/>
        <v>0.71219554617233571</v>
      </c>
      <c r="T61">
        <f t="shared" si="27"/>
        <v>5.8175788611364368E-3</v>
      </c>
      <c r="U61">
        <f t="shared" si="28"/>
        <v>0.2819868749665278</v>
      </c>
    </row>
    <row r="62" spans="1:21" ht="16" x14ac:dyDescent="0.2">
      <c r="A62" s="6" t="s">
        <v>209</v>
      </c>
      <c r="B62" s="6">
        <v>2</v>
      </c>
      <c r="C62" s="6">
        <v>18</v>
      </c>
      <c r="D62" s="6">
        <v>33</v>
      </c>
      <c r="E62">
        <f t="shared" si="29"/>
        <v>22.066666666666666</v>
      </c>
      <c r="F62" s="6"/>
      <c r="G62">
        <v>437199463.62099999</v>
      </c>
      <c r="H62">
        <v>14618823.978</v>
      </c>
      <c r="I62">
        <v>266628640.35800001</v>
      </c>
      <c r="J62">
        <v>566239002.24399996</v>
      </c>
      <c r="K62">
        <v>33462141.037</v>
      </c>
      <c r="M62">
        <v>2743727.0649999999</v>
      </c>
      <c r="O62">
        <v>254146103.16299999</v>
      </c>
      <c r="Q62">
        <f t="shared" si="25"/>
        <v>1575037901.4660001</v>
      </c>
      <c r="S62">
        <f t="shared" si="26"/>
        <v>0.83689927081189952</v>
      </c>
      <c r="T62">
        <f t="shared" si="27"/>
        <v>1.742007009765427E-3</v>
      </c>
      <c r="U62">
        <f t="shared" si="28"/>
        <v>0.16135872217833494</v>
      </c>
    </row>
    <row r="63" spans="1:21" ht="16" x14ac:dyDescent="0.2">
      <c r="A63" s="6" t="s">
        <v>210</v>
      </c>
      <c r="B63" s="6">
        <v>3</v>
      </c>
      <c r="C63" s="6">
        <v>9</v>
      </c>
      <c r="D63" s="6">
        <v>2</v>
      </c>
      <c r="E63">
        <f t="shared" si="29"/>
        <v>36.549999999999997</v>
      </c>
      <c r="F63" s="6"/>
      <c r="G63">
        <v>394922320.097</v>
      </c>
      <c r="H63">
        <v>13781909.313999999</v>
      </c>
      <c r="I63">
        <v>512024118.25</v>
      </c>
      <c r="J63">
        <v>695433559.12600005</v>
      </c>
      <c r="K63">
        <v>43097990.413000003</v>
      </c>
      <c r="M63">
        <v>116450.659</v>
      </c>
      <c r="O63">
        <v>78520175.069999993</v>
      </c>
      <c r="Q63">
        <f t="shared" ref="Q63:Q67" si="30">SUM(G63:O63)</f>
        <v>1737896522.9290001</v>
      </c>
      <c r="S63">
        <f t="shared" ref="S63:S67" si="31">SUM(G63:K63)/Q63</f>
        <v>0.95475183666489649</v>
      </c>
      <c r="T63">
        <f t="shared" ref="T63:T67" si="32">SUM(M63/Q63)</f>
        <v>6.7006670111599892E-5</v>
      </c>
      <c r="U63">
        <f t="shared" ref="U63:U67" si="33">O63/Q63</f>
        <v>4.5181156664991985E-2</v>
      </c>
    </row>
    <row r="64" spans="1:21" ht="16" x14ac:dyDescent="0.2">
      <c r="A64" s="6" t="s">
        <v>211</v>
      </c>
      <c r="B64" s="6">
        <v>3</v>
      </c>
      <c r="C64" s="6">
        <v>12</v>
      </c>
      <c r="D64" s="6">
        <v>56</v>
      </c>
      <c r="E64">
        <f t="shared" si="29"/>
        <v>40.450000000000003</v>
      </c>
      <c r="F64" s="6"/>
      <c r="G64">
        <v>375754215.63999999</v>
      </c>
      <c r="H64">
        <v>12346289.347999999</v>
      </c>
      <c r="I64">
        <v>574116226.33800006</v>
      </c>
      <c r="J64">
        <v>715964994.91299999</v>
      </c>
      <c r="K64">
        <v>40912700.751999997</v>
      </c>
      <c r="M64" s="6">
        <v>0</v>
      </c>
      <c r="O64">
        <v>52797199.766999997</v>
      </c>
      <c r="Q64">
        <f t="shared" si="30"/>
        <v>1771891626.7579999</v>
      </c>
      <c r="S64">
        <f t="shared" si="31"/>
        <v>0.97020291818659243</v>
      </c>
      <c r="T64">
        <f t="shared" si="32"/>
        <v>0</v>
      </c>
      <c r="U64">
        <f t="shared" si="33"/>
        <v>2.9797081813407594E-2</v>
      </c>
    </row>
    <row r="65" spans="1:21" ht="16" x14ac:dyDescent="0.2">
      <c r="A65" s="6" t="s">
        <v>212</v>
      </c>
      <c r="B65" s="6">
        <v>3</v>
      </c>
      <c r="C65" s="6">
        <v>18</v>
      </c>
      <c r="D65" s="6">
        <v>57</v>
      </c>
      <c r="E65">
        <f t="shared" si="29"/>
        <v>46.466666666666669</v>
      </c>
      <c r="F65" s="6"/>
      <c r="G65">
        <v>353598389.41600001</v>
      </c>
      <c r="H65">
        <v>12459051.408</v>
      </c>
      <c r="I65">
        <v>663835917.93499994</v>
      </c>
      <c r="J65">
        <v>726816573.352</v>
      </c>
      <c r="K65">
        <v>41886617.126999997</v>
      </c>
      <c r="M65" s="6"/>
      <c r="O65">
        <v>31370019.890000001</v>
      </c>
      <c r="Q65">
        <f t="shared" si="30"/>
        <v>1829966569.1280003</v>
      </c>
      <c r="S65">
        <f t="shared" si="31"/>
        <v>0.98285759946699558</v>
      </c>
      <c r="T65">
        <f t="shared" si="32"/>
        <v>0</v>
      </c>
      <c r="U65">
        <f t="shared" si="33"/>
        <v>1.7142400533004365E-2</v>
      </c>
    </row>
    <row r="66" spans="1:21" ht="16" x14ac:dyDescent="0.2">
      <c r="A66" s="6" t="s">
        <v>213</v>
      </c>
      <c r="B66" s="6">
        <v>4</v>
      </c>
      <c r="C66" s="6">
        <v>9</v>
      </c>
      <c r="D66" s="6">
        <v>9</v>
      </c>
      <c r="E66">
        <f>(B66-$B$39)*24+(C66-$C$39)+(D66-$D$39)/60</f>
        <v>60.666666666666664</v>
      </c>
      <c r="F66" s="6"/>
      <c r="G66">
        <v>268724791.31900001</v>
      </c>
      <c r="H66">
        <v>10054381.984999999</v>
      </c>
      <c r="I66">
        <v>745393406.44099998</v>
      </c>
      <c r="J66">
        <v>642761434.29799998</v>
      </c>
      <c r="K66">
        <v>36695910.957000002</v>
      </c>
      <c r="M66" s="6"/>
      <c r="O66">
        <v>8596763.1420000009</v>
      </c>
      <c r="Q66">
        <f t="shared" si="30"/>
        <v>1712226688.142</v>
      </c>
      <c r="S66">
        <f t="shared" si="31"/>
        <v>0.99497919101393717</v>
      </c>
      <c r="T66">
        <f t="shared" si="32"/>
        <v>0</v>
      </c>
      <c r="U66">
        <f t="shared" si="33"/>
        <v>5.0208089860628588E-3</v>
      </c>
    </row>
    <row r="67" spans="1:21" ht="16" x14ac:dyDescent="0.2">
      <c r="A67" s="6" t="s">
        <v>214</v>
      </c>
      <c r="B67" s="6">
        <v>4</v>
      </c>
      <c r="C67" s="6">
        <v>23</v>
      </c>
      <c r="D67" s="6">
        <v>36</v>
      </c>
      <c r="E67">
        <f t="shared" si="29"/>
        <v>75.11666666666666</v>
      </c>
      <c r="F67" s="6"/>
      <c r="G67">
        <v>72386021.202999994</v>
      </c>
      <c r="H67">
        <v>7812029.7429999998</v>
      </c>
      <c r="I67">
        <v>418912737.17500001</v>
      </c>
      <c r="J67">
        <v>291452701.97399998</v>
      </c>
      <c r="K67">
        <v>41670488.717</v>
      </c>
      <c r="M67" s="6"/>
      <c r="O67" s="4"/>
      <c r="Q67">
        <f t="shared" si="30"/>
        <v>832233978.81200004</v>
      </c>
      <c r="S67">
        <f t="shared" si="31"/>
        <v>1</v>
      </c>
      <c r="T67">
        <f t="shared" si="32"/>
        <v>0</v>
      </c>
      <c r="U67">
        <f t="shared" si="33"/>
        <v>0</v>
      </c>
    </row>
    <row r="68" spans="1:21" ht="16" x14ac:dyDescent="0.2">
      <c r="A68" s="3"/>
      <c r="B68" s="6"/>
      <c r="C68" s="6"/>
      <c r="D68" s="6"/>
      <c r="E68" s="6"/>
      <c r="F68" s="6"/>
      <c r="G68" s="6"/>
      <c r="H68" s="6"/>
      <c r="K68" s="6"/>
      <c r="M68" s="6"/>
      <c r="O68" s="4"/>
    </row>
    <row r="74" spans="1:21" ht="16" x14ac:dyDescent="0.2">
      <c r="A74" s="3"/>
      <c r="B74" s="3"/>
      <c r="C74" s="3"/>
      <c r="D74" s="3"/>
      <c r="E74" s="3"/>
      <c r="F74" s="3"/>
      <c r="G74" s="3" t="s">
        <v>42</v>
      </c>
      <c r="H74" s="3"/>
      <c r="I74" t="s">
        <v>45</v>
      </c>
      <c r="J74" t="s">
        <v>11</v>
      </c>
      <c r="K74" s="3" t="s">
        <v>11</v>
      </c>
      <c r="M74" t="s">
        <v>2</v>
      </c>
      <c r="O74" s="3" t="s">
        <v>46</v>
      </c>
    </row>
    <row r="75" spans="1:21" ht="16" x14ac:dyDescent="0.2">
      <c r="A75" s="3"/>
      <c r="B75" s="3"/>
      <c r="C75" s="3"/>
      <c r="D75" s="3"/>
      <c r="E75" s="3" t="s">
        <v>43</v>
      </c>
      <c r="F75" s="3"/>
      <c r="G75" s="3">
        <v>2</v>
      </c>
      <c r="H75" s="3">
        <v>1</v>
      </c>
      <c r="I75">
        <v>2</v>
      </c>
      <c r="J75" s="3">
        <v>2</v>
      </c>
      <c r="K75" s="3">
        <v>1</v>
      </c>
      <c r="M75" s="3">
        <v>1</v>
      </c>
      <c r="O75" s="3">
        <v>1</v>
      </c>
    </row>
    <row r="76" spans="1:21" ht="16" x14ac:dyDescent="0.2">
      <c r="A76" s="3" t="s">
        <v>44</v>
      </c>
      <c r="B76" s="3" t="s">
        <v>47</v>
      </c>
      <c r="C76" s="3" t="s">
        <v>15</v>
      </c>
      <c r="D76" s="3" t="s">
        <v>16</v>
      </c>
      <c r="E76" s="3" t="s">
        <v>10</v>
      </c>
      <c r="F76" s="3"/>
      <c r="G76" s="3">
        <v>346.66289999999998</v>
      </c>
      <c r="H76" s="3">
        <v>692.31849999999997</v>
      </c>
      <c r="I76">
        <v>367.17630000000003</v>
      </c>
      <c r="J76" s="1">
        <v>352.66289999999998</v>
      </c>
      <c r="K76" s="3">
        <v>704.31799999999998</v>
      </c>
      <c r="M76" s="3">
        <v>892.33280000000002</v>
      </c>
      <c r="O76" s="4">
        <v>844.32452999999998</v>
      </c>
      <c r="Q76" t="s">
        <v>0</v>
      </c>
      <c r="S76" t="s">
        <v>1</v>
      </c>
      <c r="T76" t="s">
        <v>2</v>
      </c>
      <c r="U76" t="s">
        <v>3</v>
      </c>
    </row>
    <row r="77" spans="1:21" ht="16" x14ac:dyDescent="0.2">
      <c r="A77" s="3"/>
      <c r="B77" s="3">
        <v>1</v>
      </c>
      <c r="C77" s="3">
        <v>20</v>
      </c>
      <c r="D77" s="3">
        <v>34</v>
      </c>
      <c r="E77" s="3">
        <v>0</v>
      </c>
      <c r="F77" s="3"/>
      <c r="G77" s="3"/>
      <c r="H77" s="3"/>
      <c r="J77" s="1"/>
      <c r="K77" s="3"/>
      <c r="M77" s="3"/>
      <c r="O77" s="4"/>
      <c r="S77">
        <v>1</v>
      </c>
      <c r="T77">
        <v>0</v>
      </c>
      <c r="U77">
        <v>0</v>
      </c>
    </row>
    <row r="78" spans="1:21" x14ac:dyDescent="0.2">
      <c r="A78" t="s">
        <v>103</v>
      </c>
      <c r="B78">
        <v>1</v>
      </c>
      <c r="C78">
        <v>20</v>
      </c>
      <c r="D78">
        <v>37</v>
      </c>
      <c r="E78">
        <f>(B78-$B$77)*24+(C78-$C$77)+(D78-$D$77)/60</f>
        <v>0.05</v>
      </c>
      <c r="G78">
        <v>1263544315.227</v>
      </c>
      <c r="H78">
        <v>39918298.659000002</v>
      </c>
      <c r="I78">
        <v>6489512.6129999999</v>
      </c>
      <c r="J78">
        <v>42292104.239</v>
      </c>
      <c r="K78">
        <v>2728613.2540000002</v>
      </c>
      <c r="M78">
        <v>22157747.326000001</v>
      </c>
      <c r="O78">
        <v>121027497.066</v>
      </c>
      <c r="Q78">
        <f>SUM(G78:O78)</f>
        <v>1498158088.3839998</v>
      </c>
      <c r="S78">
        <f>SUM(G78:K78)/Q78</f>
        <v>0.90442581093264474</v>
      </c>
      <c r="T78">
        <f>SUM(M78/Q78)</f>
        <v>1.47899927903474E-2</v>
      </c>
      <c r="U78">
        <f>O78/Q78</f>
        <v>8.0784196277007905E-2</v>
      </c>
    </row>
    <row r="79" spans="1:21" x14ac:dyDescent="0.2">
      <c r="A79" t="s">
        <v>104</v>
      </c>
      <c r="B79">
        <v>1</v>
      </c>
      <c r="C79">
        <v>21</v>
      </c>
      <c r="D79">
        <v>13</v>
      </c>
      <c r="E79">
        <f t="shared" ref="E79:E105" si="34">(B79-$B$77)*24+(C79-$C$77)+(D79-$D$77)/60</f>
        <v>0.65</v>
      </c>
      <c r="G79">
        <v>51630000.086999997</v>
      </c>
      <c r="H79">
        <v>1678996.9820000001</v>
      </c>
      <c r="I79">
        <v>8885039.3719999995</v>
      </c>
      <c r="J79">
        <v>86877539.263999999</v>
      </c>
      <c r="K79">
        <v>4448970.4189999998</v>
      </c>
      <c r="M79">
        <v>18083121.011999998</v>
      </c>
      <c r="O79">
        <v>673251814.53799999</v>
      </c>
      <c r="Q79">
        <f t="shared" ref="Q79:Q102" si="35">SUM(G79:O79)</f>
        <v>844855481.67400002</v>
      </c>
      <c r="S79">
        <f t="shared" ref="S79:S102" si="36">SUM(G79:K79)/Q79</f>
        <v>0.18171219747525785</v>
      </c>
      <c r="T79">
        <f t="shared" ref="T79:T102" si="37">SUM(M79/Q79)</f>
        <v>2.140380385077224E-2</v>
      </c>
      <c r="U79">
        <f t="shared" ref="U79:U102" si="38">O79/Q79</f>
        <v>0.79688399867396986</v>
      </c>
    </row>
    <row r="80" spans="1:21" ht="16" x14ac:dyDescent="0.2">
      <c r="A80" t="s">
        <v>105</v>
      </c>
      <c r="B80">
        <v>1</v>
      </c>
      <c r="C80" s="6">
        <v>21</v>
      </c>
      <c r="D80" s="6">
        <v>50</v>
      </c>
      <c r="E80">
        <f t="shared" si="34"/>
        <v>1.2666666666666666</v>
      </c>
      <c r="G80">
        <v>30230059.511</v>
      </c>
      <c r="H80">
        <v>1105190.307</v>
      </c>
      <c r="I80">
        <v>9455858.1380000003</v>
      </c>
      <c r="J80">
        <v>87210505.547000006</v>
      </c>
      <c r="K80">
        <v>4837831.7529999996</v>
      </c>
      <c r="M80">
        <v>33779480.522</v>
      </c>
      <c r="O80">
        <v>717345823.55799997</v>
      </c>
      <c r="Q80">
        <f t="shared" si="35"/>
        <v>883964749.33599997</v>
      </c>
      <c r="S80">
        <f t="shared" si="36"/>
        <v>0.15027685816180322</v>
      </c>
      <c r="T80">
        <f t="shared" si="37"/>
        <v>3.8213605856312526E-2</v>
      </c>
      <c r="U80">
        <f t="shared" si="38"/>
        <v>0.81150953598188424</v>
      </c>
    </row>
    <row r="81" spans="1:21" ht="16" x14ac:dyDescent="0.2">
      <c r="A81" t="s">
        <v>106</v>
      </c>
      <c r="B81">
        <v>1</v>
      </c>
      <c r="C81" s="6">
        <v>22</v>
      </c>
      <c r="D81" s="6">
        <v>26</v>
      </c>
      <c r="E81">
        <f>(B81-$B$77)*24+(C81-$C$77)+(D81-$D$77)/60</f>
        <v>1.8666666666666667</v>
      </c>
      <c r="G81">
        <v>26641075.208999999</v>
      </c>
      <c r="H81">
        <v>984756.59600000002</v>
      </c>
      <c r="I81">
        <v>9501355.8399999999</v>
      </c>
      <c r="J81">
        <v>81996752.122999996</v>
      </c>
      <c r="K81">
        <v>4947180.3679999998</v>
      </c>
      <c r="M81">
        <v>45811264.123999998</v>
      </c>
      <c r="O81">
        <v>708095564.704</v>
      </c>
      <c r="Q81">
        <f t="shared" si="35"/>
        <v>877977948.96399999</v>
      </c>
      <c r="S81">
        <f t="shared" si="36"/>
        <v>0.14131461989723312</v>
      </c>
      <c r="T81">
        <f t="shared" si="37"/>
        <v>5.2178148868153876E-2</v>
      </c>
      <c r="U81">
        <f t="shared" si="38"/>
        <v>0.80650723123461299</v>
      </c>
    </row>
    <row r="82" spans="1:21" ht="16" x14ac:dyDescent="0.2">
      <c r="A82" t="s">
        <v>107</v>
      </c>
      <c r="B82">
        <v>1</v>
      </c>
      <c r="C82" s="6">
        <v>23</v>
      </c>
      <c r="D82" s="6">
        <v>2</v>
      </c>
      <c r="E82">
        <f t="shared" si="34"/>
        <v>2.4666666666666668</v>
      </c>
      <c r="G82">
        <v>25818415.353</v>
      </c>
      <c r="H82">
        <v>998033.43</v>
      </c>
      <c r="I82">
        <v>9647499.6359999999</v>
      </c>
      <c r="J82">
        <v>79355278.395999998</v>
      </c>
      <c r="K82">
        <v>4777897.4340000004</v>
      </c>
      <c r="M82">
        <v>54387403.638999999</v>
      </c>
      <c r="O82">
        <v>712482270.52900004</v>
      </c>
      <c r="Q82">
        <f t="shared" si="35"/>
        <v>887466798.41700006</v>
      </c>
      <c r="S82">
        <f t="shared" si="36"/>
        <v>0.13588916730644182</v>
      </c>
      <c r="T82">
        <f t="shared" si="37"/>
        <v>6.1283874209167449E-2</v>
      </c>
      <c r="U82">
        <f t="shared" si="38"/>
        <v>0.80282695848439067</v>
      </c>
    </row>
    <row r="83" spans="1:21" ht="16" x14ac:dyDescent="0.2">
      <c r="A83" t="s">
        <v>108</v>
      </c>
      <c r="B83">
        <v>1</v>
      </c>
      <c r="C83" s="6">
        <v>23</v>
      </c>
      <c r="D83" s="6">
        <v>38</v>
      </c>
      <c r="E83">
        <f t="shared" si="34"/>
        <v>3.0666666666666669</v>
      </c>
      <c r="G83">
        <v>27136195.006000001</v>
      </c>
      <c r="H83">
        <v>1012040.188</v>
      </c>
      <c r="I83">
        <v>9900682.5920000002</v>
      </c>
      <c r="J83">
        <v>78362532.024000004</v>
      </c>
      <c r="K83">
        <v>4738119.1979999999</v>
      </c>
      <c r="M83">
        <v>59194256.086000003</v>
      </c>
      <c r="O83">
        <v>711109924.26900005</v>
      </c>
      <c r="Q83">
        <f t="shared" si="35"/>
        <v>891453749.36300004</v>
      </c>
      <c r="S83">
        <f t="shared" si="36"/>
        <v>0.13590112677698535</v>
      </c>
      <c r="T83">
        <f t="shared" si="37"/>
        <v>6.640193742894461E-2</v>
      </c>
      <c r="U83">
        <f t="shared" si="38"/>
        <v>0.79769693579407008</v>
      </c>
    </row>
    <row r="84" spans="1:21" ht="16" x14ac:dyDescent="0.2">
      <c r="A84" t="s">
        <v>109</v>
      </c>
      <c r="B84">
        <v>2</v>
      </c>
      <c r="C84" s="6">
        <v>0</v>
      </c>
      <c r="D84" s="6">
        <v>14</v>
      </c>
      <c r="E84">
        <f t="shared" si="34"/>
        <v>3.6666666666666665</v>
      </c>
      <c r="G84">
        <v>30959320.105</v>
      </c>
      <c r="H84">
        <v>1127825.8570000001</v>
      </c>
      <c r="I84">
        <v>10396846.072000001</v>
      </c>
      <c r="J84">
        <v>75714553.974000007</v>
      </c>
      <c r="K84">
        <v>4496835.5</v>
      </c>
      <c r="M84">
        <v>63759166.487000003</v>
      </c>
      <c r="O84">
        <v>712888844.44599998</v>
      </c>
      <c r="Q84">
        <f t="shared" si="35"/>
        <v>899343392.44099998</v>
      </c>
      <c r="S84">
        <f t="shared" si="36"/>
        <v>0.13642773443298439</v>
      </c>
      <c r="T84">
        <f t="shared" si="37"/>
        <v>7.0895240931213965E-2</v>
      </c>
      <c r="U84">
        <f t="shared" si="38"/>
        <v>0.7926770246358017</v>
      </c>
    </row>
    <row r="85" spans="1:21" ht="16" x14ac:dyDescent="0.2">
      <c r="A85" t="s">
        <v>110</v>
      </c>
      <c r="B85">
        <v>2</v>
      </c>
      <c r="C85" s="6">
        <v>0</v>
      </c>
      <c r="D85" s="6">
        <v>51</v>
      </c>
      <c r="E85">
        <f>(B85-$B$77)*24+(C85-$C$77)+(D85-$D$77)/60</f>
        <v>4.2833333333333332</v>
      </c>
      <c r="G85">
        <v>35745713.226000004</v>
      </c>
      <c r="H85">
        <v>1331803.129</v>
      </c>
      <c r="I85">
        <v>10701475.007999999</v>
      </c>
      <c r="J85">
        <v>74245810.444999993</v>
      </c>
      <c r="K85">
        <v>4633815.3890000004</v>
      </c>
      <c r="M85">
        <v>65633923.167000003</v>
      </c>
      <c r="O85">
        <v>718910193.17499995</v>
      </c>
      <c r="Q85">
        <f t="shared" si="35"/>
        <v>911202733.53899992</v>
      </c>
      <c r="S85">
        <f t="shared" si="36"/>
        <v>0.13900157729452087</v>
      </c>
      <c r="T85">
        <f t="shared" si="37"/>
        <v>7.2029989322009463E-2</v>
      </c>
      <c r="U85">
        <f t="shared" si="38"/>
        <v>0.78896843338346967</v>
      </c>
    </row>
    <row r="86" spans="1:21" ht="16" x14ac:dyDescent="0.2">
      <c r="A86" t="s">
        <v>111</v>
      </c>
      <c r="B86">
        <v>2</v>
      </c>
      <c r="C86" s="6">
        <v>1</v>
      </c>
      <c r="D86" s="6">
        <v>27</v>
      </c>
      <c r="E86">
        <f t="shared" si="34"/>
        <v>4.8833333333333337</v>
      </c>
      <c r="G86">
        <v>41615703.545000002</v>
      </c>
      <c r="H86">
        <v>1569033.9990000001</v>
      </c>
      <c r="I86">
        <v>10839421.17</v>
      </c>
      <c r="J86">
        <v>75072918.853</v>
      </c>
      <c r="K86">
        <v>4337612.8849999998</v>
      </c>
      <c r="M86">
        <v>63607440.438000001</v>
      </c>
      <c r="O86">
        <v>703649505.25199997</v>
      </c>
      <c r="Q86">
        <f t="shared" si="35"/>
        <v>900691636.14199996</v>
      </c>
      <c r="S86">
        <f t="shared" si="36"/>
        <v>0.14814691854312184</v>
      </c>
      <c r="T86">
        <f t="shared" si="37"/>
        <v>7.0620662927941155E-2</v>
      </c>
      <c r="U86">
        <f t="shared" si="38"/>
        <v>0.78123241852893699</v>
      </c>
    </row>
    <row r="87" spans="1:21" ht="16" x14ac:dyDescent="0.2">
      <c r="A87" t="s">
        <v>112</v>
      </c>
      <c r="B87">
        <v>2</v>
      </c>
      <c r="C87" s="6">
        <v>2</v>
      </c>
      <c r="D87" s="6">
        <v>3</v>
      </c>
      <c r="E87">
        <f t="shared" si="34"/>
        <v>5.4833333333333334</v>
      </c>
      <c r="G87">
        <v>48556725.777999997</v>
      </c>
      <c r="H87">
        <v>1795564.575</v>
      </c>
      <c r="I87">
        <v>11851913.471999999</v>
      </c>
      <c r="J87">
        <v>77098370.178000003</v>
      </c>
      <c r="K87">
        <v>4580733.7170000002</v>
      </c>
      <c r="M87">
        <v>64271005.049000002</v>
      </c>
      <c r="O87">
        <v>692982655.63699996</v>
      </c>
      <c r="Q87">
        <f t="shared" si="35"/>
        <v>901136968.40600002</v>
      </c>
      <c r="S87">
        <f t="shared" si="36"/>
        <v>0.15966863281007307</v>
      </c>
      <c r="T87">
        <f t="shared" si="37"/>
        <v>7.1322126715861481E-2</v>
      </c>
      <c r="U87">
        <f t="shared" si="38"/>
        <v>0.76900924047406538</v>
      </c>
    </row>
    <row r="88" spans="1:21" ht="16" x14ac:dyDescent="0.2">
      <c r="A88" t="s">
        <v>113</v>
      </c>
      <c r="B88">
        <v>2</v>
      </c>
      <c r="C88" s="6">
        <v>2</v>
      </c>
      <c r="D88" s="6">
        <v>39</v>
      </c>
      <c r="E88">
        <f t="shared" si="34"/>
        <v>6.083333333333333</v>
      </c>
      <c r="G88">
        <v>58604578.215999998</v>
      </c>
      <c r="H88">
        <v>2469585.1850000001</v>
      </c>
      <c r="I88">
        <v>12781867.51</v>
      </c>
      <c r="J88">
        <v>80479276.855000004</v>
      </c>
      <c r="K88">
        <v>5018650.5089999996</v>
      </c>
      <c r="M88">
        <v>64478284.664999999</v>
      </c>
      <c r="O88">
        <v>732547695.88600004</v>
      </c>
      <c r="Q88">
        <f t="shared" si="35"/>
        <v>956379938.82599998</v>
      </c>
      <c r="S88">
        <f t="shared" si="36"/>
        <v>0.16662202102504811</v>
      </c>
      <c r="T88">
        <f t="shared" si="37"/>
        <v>6.7419110384257991E-2</v>
      </c>
      <c r="U88">
        <f t="shared" si="38"/>
        <v>0.76595886859069395</v>
      </c>
    </row>
    <row r="89" spans="1:21" ht="16" x14ac:dyDescent="0.2">
      <c r="A89" t="s">
        <v>114</v>
      </c>
      <c r="B89">
        <v>2</v>
      </c>
      <c r="C89" s="6">
        <v>3</v>
      </c>
      <c r="D89" s="6">
        <v>15</v>
      </c>
      <c r="E89">
        <f t="shared" si="34"/>
        <v>6.6833333333333336</v>
      </c>
      <c r="G89">
        <v>67696239.386000007</v>
      </c>
      <c r="H89">
        <v>2693052.7119999998</v>
      </c>
      <c r="I89">
        <v>14147170.967</v>
      </c>
      <c r="J89">
        <v>83337008.608999997</v>
      </c>
      <c r="K89">
        <v>5263462.8289999999</v>
      </c>
      <c r="M89">
        <v>61561449.027999997</v>
      </c>
      <c r="O89">
        <v>713533310.00100005</v>
      </c>
      <c r="Q89">
        <f t="shared" si="35"/>
        <v>948231693.53200006</v>
      </c>
      <c r="S89">
        <f t="shared" si="36"/>
        <v>0.18258927188785967</v>
      </c>
      <c r="T89">
        <f t="shared" si="37"/>
        <v>6.4922370184331404E-2</v>
      </c>
      <c r="U89">
        <f t="shared" si="38"/>
        <v>0.75248835792780888</v>
      </c>
    </row>
    <row r="90" spans="1:21" ht="16" x14ac:dyDescent="0.2">
      <c r="A90" t="s">
        <v>115</v>
      </c>
      <c r="B90">
        <v>2</v>
      </c>
      <c r="C90" s="6">
        <v>3</v>
      </c>
      <c r="D90" s="6">
        <v>51</v>
      </c>
      <c r="E90">
        <f t="shared" si="34"/>
        <v>7.2833333333333332</v>
      </c>
      <c r="G90">
        <v>76082975.650999993</v>
      </c>
      <c r="H90">
        <v>2898555.3879999998</v>
      </c>
      <c r="I90">
        <v>15408269.932</v>
      </c>
      <c r="J90">
        <v>88752976.349999994</v>
      </c>
      <c r="K90">
        <v>5187797.398</v>
      </c>
      <c r="M90">
        <v>61445628.971000001</v>
      </c>
      <c r="O90">
        <v>705797095.59800005</v>
      </c>
      <c r="Q90">
        <f t="shared" si="35"/>
        <v>955573299.28800011</v>
      </c>
      <c r="S90">
        <f t="shared" si="36"/>
        <v>0.19708647663065254</v>
      </c>
      <c r="T90">
        <f t="shared" si="37"/>
        <v>6.4302371170043449E-2</v>
      </c>
      <c r="U90">
        <f t="shared" si="38"/>
        <v>0.73861115219930396</v>
      </c>
    </row>
    <row r="91" spans="1:21" ht="16" x14ac:dyDescent="0.2">
      <c r="A91" t="s">
        <v>116</v>
      </c>
      <c r="B91">
        <v>2</v>
      </c>
      <c r="C91" s="6">
        <v>4</v>
      </c>
      <c r="D91" s="6">
        <v>28</v>
      </c>
      <c r="E91">
        <f t="shared" si="34"/>
        <v>7.9</v>
      </c>
      <c r="G91">
        <v>87173621.696999997</v>
      </c>
      <c r="H91">
        <v>3268116.28</v>
      </c>
      <c r="I91">
        <v>17912199.199000001</v>
      </c>
      <c r="J91">
        <v>100217888.60600001</v>
      </c>
      <c r="K91">
        <v>6104810.2690000003</v>
      </c>
      <c r="M91">
        <v>58946634.001000002</v>
      </c>
      <c r="O91">
        <v>689120843.53499997</v>
      </c>
      <c r="Q91">
        <f t="shared" si="35"/>
        <v>962744113.58699989</v>
      </c>
      <c r="S91">
        <f t="shared" si="36"/>
        <v>0.22298410659833176</v>
      </c>
      <c r="T91">
        <f t="shared" si="37"/>
        <v>6.1227727252858653E-2</v>
      </c>
      <c r="U91">
        <f t="shared" si="38"/>
        <v>0.71578816614880969</v>
      </c>
    </row>
    <row r="92" spans="1:21" ht="16" x14ac:dyDescent="0.2">
      <c r="A92" t="s">
        <v>117</v>
      </c>
      <c r="B92">
        <v>2</v>
      </c>
      <c r="C92" s="6">
        <v>5</v>
      </c>
      <c r="D92" s="6">
        <v>4</v>
      </c>
      <c r="E92">
        <f t="shared" si="34"/>
        <v>8.5</v>
      </c>
      <c r="G92">
        <v>96904621.983999997</v>
      </c>
      <c r="H92">
        <v>3900812.142</v>
      </c>
      <c r="I92">
        <v>19741699.050999999</v>
      </c>
      <c r="J92">
        <v>110542570.005</v>
      </c>
      <c r="K92">
        <v>6746858.7309999997</v>
      </c>
      <c r="M92">
        <v>58073469.211000003</v>
      </c>
      <c r="O92">
        <v>701450519.56400001</v>
      </c>
      <c r="Q92">
        <f t="shared" si="35"/>
        <v>997360550.68799996</v>
      </c>
      <c r="S92">
        <f t="shared" si="36"/>
        <v>0.23846598078191023</v>
      </c>
      <c r="T92">
        <f t="shared" si="37"/>
        <v>5.8227156840061224E-2</v>
      </c>
      <c r="U92">
        <f t="shared" si="38"/>
        <v>0.70330686237802864</v>
      </c>
    </row>
    <row r="93" spans="1:21" ht="16" x14ac:dyDescent="0.2">
      <c r="A93" t="s">
        <v>118</v>
      </c>
      <c r="B93">
        <v>2</v>
      </c>
      <c r="C93" s="6">
        <v>5</v>
      </c>
      <c r="D93" s="6">
        <v>40</v>
      </c>
      <c r="E93">
        <f t="shared" si="34"/>
        <v>9.1</v>
      </c>
      <c r="G93">
        <v>107934586.52</v>
      </c>
      <c r="H93">
        <v>4379213.1579999998</v>
      </c>
      <c r="I93">
        <v>22741514.289999999</v>
      </c>
      <c r="J93">
        <v>124794561.575</v>
      </c>
      <c r="K93">
        <v>7781537.8439999996</v>
      </c>
      <c r="M93">
        <v>58793778.899999999</v>
      </c>
      <c r="O93">
        <v>709268939.77499998</v>
      </c>
      <c r="Q93">
        <f t="shared" si="35"/>
        <v>1035694132.062</v>
      </c>
      <c r="S93">
        <f t="shared" si="36"/>
        <v>0.25840777223885891</v>
      </c>
      <c r="T93">
        <f t="shared" si="37"/>
        <v>5.6767511835705185E-2</v>
      </c>
      <c r="U93">
        <f t="shared" si="38"/>
        <v>0.68482471592543581</v>
      </c>
    </row>
    <row r="94" spans="1:21" ht="16" x14ac:dyDescent="0.2">
      <c r="A94" t="s">
        <v>119</v>
      </c>
      <c r="B94">
        <v>2</v>
      </c>
      <c r="C94" s="6">
        <v>6</v>
      </c>
      <c r="D94" s="6">
        <v>16</v>
      </c>
      <c r="E94">
        <f t="shared" si="34"/>
        <v>9.6999999999999993</v>
      </c>
      <c r="G94">
        <v>115790234.92</v>
      </c>
      <c r="H94">
        <v>4606973.4040000001</v>
      </c>
      <c r="I94">
        <v>25259543.5</v>
      </c>
      <c r="J94">
        <v>136024718.373</v>
      </c>
      <c r="K94">
        <v>8027690.4699999997</v>
      </c>
      <c r="M94">
        <v>54865521.825000003</v>
      </c>
      <c r="O94">
        <v>703121369.04700005</v>
      </c>
      <c r="Q94">
        <f t="shared" si="35"/>
        <v>1047696051.539</v>
      </c>
      <c r="S94">
        <f t="shared" si="36"/>
        <v>0.27652023718275487</v>
      </c>
      <c r="T94">
        <f t="shared" si="37"/>
        <v>5.236778524115461E-2</v>
      </c>
      <c r="U94">
        <f t="shared" si="38"/>
        <v>0.67111197757609065</v>
      </c>
    </row>
    <row r="95" spans="1:21" ht="16" x14ac:dyDescent="0.2">
      <c r="A95" t="s">
        <v>120</v>
      </c>
      <c r="B95">
        <v>2</v>
      </c>
      <c r="C95" s="6">
        <v>6</v>
      </c>
      <c r="D95" s="6">
        <v>52</v>
      </c>
      <c r="E95">
        <f t="shared" si="34"/>
        <v>10.3</v>
      </c>
      <c r="G95">
        <v>127306560.211</v>
      </c>
      <c r="H95">
        <v>5152286.6059999997</v>
      </c>
      <c r="I95">
        <v>30014051.704999998</v>
      </c>
      <c r="J95">
        <v>154056384.493</v>
      </c>
      <c r="K95">
        <v>9682196.159</v>
      </c>
      <c r="M95">
        <v>54263242.362000003</v>
      </c>
      <c r="O95">
        <v>718780544.15999997</v>
      </c>
      <c r="Q95">
        <f t="shared" si="35"/>
        <v>1099255265.6959999</v>
      </c>
      <c r="S95">
        <f t="shared" si="36"/>
        <v>0.29675680376882912</v>
      </c>
      <c r="T95">
        <f t="shared" si="37"/>
        <v>4.936364105351173E-2</v>
      </c>
      <c r="U95">
        <f t="shared" si="38"/>
        <v>0.65387955517765917</v>
      </c>
    </row>
    <row r="96" spans="1:21" ht="16" x14ac:dyDescent="0.2">
      <c r="A96" t="s">
        <v>121</v>
      </c>
      <c r="B96">
        <v>2</v>
      </c>
      <c r="C96" s="6">
        <v>7</v>
      </c>
      <c r="D96" s="6">
        <v>29</v>
      </c>
      <c r="E96">
        <f t="shared" si="34"/>
        <v>10.916666666666666</v>
      </c>
      <c r="G96">
        <v>133414042.507</v>
      </c>
      <c r="H96">
        <v>5424806.79</v>
      </c>
      <c r="I96">
        <v>32835574.500999998</v>
      </c>
      <c r="J96">
        <v>167535431.61700001</v>
      </c>
      <c r="K96">
        <v>10185276.179</v>
      </c>
      <c r="M96">
        <v>54326804.875</v>
      </c>
      <c r="O96">
        <v>703688907.93900001</v>
      </c>
      <c r="Q96">
        <f t="shared" si="35"/>
        <v>1107410844.408</v>
      </c>
      <c r="S96">
        <f t="shared" si="36"/>
        <v>0.31550633024618768</v>
      </c>
      <c r="T96">
        <f t="shared" si="37"/>
        <v>4.9057497630016475E-2</v>
      </c>
      <c r="U96">
        <f t="shared" si="38"/>
        <v>0.63543617212379588</v>
      </c>
    </row>
    <row r="97" spans="1:21" ht="16" x14ac:dyDescent="0.2">
      <c r="A97" t="s">
        <v>122</v>
      </c>
      <c r="B97">
        <v>2</v>
      </c>
      <c r="C97" s="6">
        <v>8</v>
      </c>
      <c r="D97" s="6">
        <v>5</v>
      </c>
      <c r="E97">
        <f t="shared" si="34"/>
        <v>11.516666666666667</v>
      </c>
      <c r="G97">
        <v>140634256.868</v>
      </c>
      <c r="H97">
        <v>5802799.8540000003</v>
      </c>
      <c r="I97">
        <v>34987841.406999998</v>
      </c>
      <c r="J97">
        <v>183470463.06900001</v>
      </c>
      <c r="K97">
        <v>11102791.695</v>
      </c>
      <c r="M97">
        <v>49618976.909000002</v>
      </c>
      <c r="O97">
        <v>701025684.69500005</v>
      </c>
      <c r="Q97">
        <f t="shared" si="35"/>
        <v>1126642814.497</v>
      </c>
      <c r="S97">
        <f t="shared" si="36"/>
        <v>0.3337332365279122</v>
      </c>
      <c r="T97">
        <f t="shared" si="37"/>
        <v>4.4041444431661199E-2</v>
      </c>
      <c r="U97">
        <f t="shared" si="38"/>
        <v>0.62222531904042666</v>
      </c>
    </row>
    <row r="98" spans="1:21" ht="16" x14ac:dyDescent="0.2">
      <c r="A98" t="s">
        <v>123</v>
      </c>
      <c r="B98">
        <v>2</v>
      </c>
      <c r="C98" s="6">
        <v>8</v>
      </c>
      <c r="D98" s="6">
        <v>41</v>
      </c>
      <c r="E98">
        <f>(B98-$B$77)*24+(C98-$C$77)+(D98-$D$77)/60</f>
        <v>12.116666666666667</v>
      </c>
      <c r="G98">
        <v>146893598.405</v>
      </c>
      <c r="H98">
        <v>6199265.6969999997</v>
      </c>
      <c r="I98">
        <v>39238457.847000003</v>
      </c>
      <c r="J98">
        <v>196615025.66800001</v>
      </c>
      <c r="K98">
        <v>12229786.094000001</v>
      </c>
      <c r="M98">
        <v>50109546.855999999</v>
      </c>
      <c r="O98">
        <v>686670777.80200005</v>
      </c>
      <c r="Q98">
        <f t="shared" si="35"/>
        <v>1137956458.369</v>
      </c>
      <c r="S98">
        <f t="shared" si="36"/>
        <v>0.3525408470250207</v>
      </c>
      <c r="T98">
        <f t="shared" si="37"/>
        <v>4.4034678556876032E-2</v>
      </c>
      <c r="U98">
        <f t="shared" si="38"/>
        <v>0.60342447441810332</v>
      </c>
    </row>
    <row r="99" spans="1:21" ht="16" x14ac:dyDescent="0.2">
      <c r="A99" t="s">
        <v>124</v>
      </c>
      <c r="B99">
        <v>2</v>
      </c>
      <c r="C99" s="6">
        <v>12</v>
      </c>
      <c r="D99" s="6">
        <v>36</v>
      </c>
      <c r="E99">
        <f t="shared" si="34"/>
        <v>16.033333333333335</v>
      </c>
      <c r="G99">
        <v>171463231.32600001</v>
      </c>
      <c r="H99">
        <v>6533935.7939999998</v>
      </c>
      <c r="I99">
        <v>61248469.75</v>
      </c>
      <c r="J99">
        <v>272169770.22000003</v>
      </c>
      <c r="K99">
        <v>17562037.228999998</v>
      </c>
      <c r="M99">
        <v>37315306.362999998</v>
      </c>
      <c r="O99">
        <v>572689185.13499999</v>
      </c>
      <c r="Q99">
        <f t="shared" si="35"/>
        <v>1138981935.8169999</v>
      </c>
      <c r="S99">
        <f t="shared" si="36"/>
        <v>0.46443005607420867</v>
      </c>
      <c r="T99">
        <f t="shared" si="37"/>
        <v>3.2761982600043135E-2</v>
      </c>
      <c r="U99">
        <f t="shared" si="38"/>
        <v>0.50280796132574823</v>
      </c>
    </row>
    <row r="100" spans="1:21" ht="16" x14ac:dyDescent="0.2">
      <c r="A100" t="s">
        <v>125</v>
      </c>
      <c r="B100">
        <v>2</v>
      </c>
      <c r="C100" s="6">
        <v>18</v>
      </c>
      <c r="D100" s="6">
        <v>38</v>
      </c>
      <c r="E100">
        <f t="shared" si="34"/>
        <v>22.066666666666666</v>
      </c>
      <c r="G100">
        <v>227841843.787</v>
      </c>
      <c r="H100">
        <v>8650387.8540000003</v>
      </c>
      <c r="I100">
        <v>105640172.05599999</v>
      </c>
      <c r="J100">
        <v>400374019.13499999</v>
      </c>
      <c r="K100">
        <v>26220781.925999999</v>
      </c>
      <c r="M100">
        <v>25206953.877999999</v>
      </c>
      <c r="O100">
        <v>466072156.13599998</v>
      </c>
      <c r="Q100">
        <f t="shared" si="35"/>
        <v>1260006314.7720001</v>
      </c>
      <c r="S100">
        <f t="shared" si="36"/>
        <v>0.61009789851497875</v>
      </c>
      <c r="T100">
        <f t="shared" si="37"/>
        <v>2.0005418689160486E-2</v>
      </c>
      <c r="U100">
        <f t="shared" si="38"/>
        <v>0.36989668279586074</v>
      </c>
    </row>
    <row r="101" spans="1:21" ht="16" x14ac:dyDescent="0.2">
      <c r="A101" t="s">
        <v>126</v>
      </c>
      <c r="B101">
        <v>3</v>
      </c>
      <c r="C101" s="6">
        <v>9</v>
      </c>
      <c r="D101" s="6">
        <v>8</v>
      </c>
      <c r="E101">
        <f t="shared" si="34"/>
        <v>36.56666666666667</v>
      </c>
      <c r="G101">
        <v>304223508.29100001</v>
      </c>
      <c r="H101">
        <v>11970508.762</v>
      </c>
      <c r="I101">
        <v>249527833.972</v>
      </c>
      <c r="J101">
        <v>630020349.64600003</v>
      </c>
      <c r="K101">
        <v>41330734.255999997</v>
      </c>
      <c r="M101">
        <v>11083843.26</v>
      </c>
      <c r="O101">
        <v>256844324.28600001</v>
      </c>
      <c r="Q101">
        <f t="shared" si="35"/>
        <v>1505001102.473</v>
      </c>
      <c r="S101">
        <f t="shared" si="36"/>
        <v>0.82197476991495644</v>
      </c>
      <c r="T101">
        <f t="shared" si="37"/>
        <v>7.3646745120566088E-3</v>
      </c>
      <c r="U101">
        <f t="shared" si="38"/>
        <v>0.17066055557298693</v>
      </c>
    </row>
    <row r="102" spans="1:21" ht="16" x14ac:dyDescent="0.2">
      <c r="A102" t="s">
        <v>127</v>
      </c>
      <c r="B102">
        <v>3</v>
      </c>
      <c r="C102" s="6">
        <v>13</v>
      </c>
      <c r="D102" s="6">
        <v>1</v>
      </c>
      <c r="E102">
        <f t="shared" si="34"/>
        <v>40.450000000000003</v>
      </c>
      <c r="G102">
        <v>310346882.75199997</v>
      </c>
      <c r="H102">
        <v>11849810.126</v>
      </c>
      <c r="I102">
        <v>290820283.53799999</v>
      </c>
      <c r="J102">
        <v>678382835.21000004</v>
      </c>
      <c r="K102">
        <v>42315254.365000002</v>
      </c>
      <c r="M102">
        <v>8691998.7310000006</v>
      </c>
      <c r="O102">
        <v>210664557.06600001</v>
      </c>
      <c r="Q102">
        <f t="shared" si="35"/>
        <v>1553071621.7879999</v>
      </c>
      <c r="S102">
        <f t="shared" si="36"/>
        <v>0.85875953644400382</v>
      </c>
      <c r="T102">
        <f t="shared" si="37"/>
        <v>5.5966502826142626E-3</v>
      </c>
      <c r="U102">
        <f t="shared" si="38"/>
        <v>0.13564381327338201</v>
      </c>
    </row>
    <row r="103" spans="1:21" ht="16" x14ac:dyDescent="0.2">
      <c r="A103" t="s">
        <v>128</v>
      </c>
      <c r="B103">
        <v>3</v>
      </c>
      <c r="C103" s="6">
        <v>19</v>
      </c>
      <c r="D103" s="6">
        <v>2</v>
      </c>
      <c r="E103">
        <f t="shared" si="34"/>
        <v>46.466666666666669</v>
      </c>
      <c r="G103">
        <v>308846224.03299999</v>
      </c>
      <c r="H103">
        <v>11981934.988</v>
      </c>
      <c r="I103">
        <v>349159009.44499999</v>
      </c>
      <c r="J103">
        <v>744608900.41900003</v>
      </c>
      <c r="K103">
        <v>48317600.300999999</v>
      </c>
      <c r="M103">
        <v>5287676.7549999999</v>
      </c>
      <c r="O103">
        <v>159769097.56900001</v>
      </c>
      <c r="Q103">
        <f t="shared" ref="Q103:Q105" si="39">SUM(G103:O103)</f>
        <v>1627970443.51</v>
      </c>
      <c r="S103">
        <f t="shared" ref="S103:S105" si="40">SUM(G103:K103)/Q103</f>
        <v>0.89861193427558306</v>
      </c>
      <c r="T103">
        <f t="shared" ref="T103:T105" si="41">SUM(M103/Q103)</f>
        <v>3.248017662777377E-3</v>
      </c>
      <c r="U103">
        <f t="shared" ref="U103:U105" si="42">O103/Q103</f>
        <v>9.814004806163952E-2</v>
      </c>
    </row>
    <row r="104" spans="1:21" ht="16" x14ac:dyDescent="0.2">
      <c r="A104" t="s">
        <v>129</v>
      </c>
      <c r="B104">
        <v>4</v>
      </c>
      <c r="C104" s="6">
        <v>9</v>
      </c>
      <c r="D104" s="6">
        <v>14</v>
      </c>
      <c r="E104">
        <f t="shared" si="34"/>
        <v>60.666666666666664</v>
      </c>
      <c r="G104">
        <v>259774091.24000001</v>
      </c>
      <c r="H104">
        <v>10337808.351</v>
      </c>
      <c r="I104">
        <v>356389238.93099999</v>
      </c>
      <c r="J104">
        <v>751580321.93900001</v>
      </c>
      <c r="K104">
        <v>48042000.306999996</v>
      </c>
      <c r="M104">
        <v>1862522.0179999999</v>
      </c>
      <c r="O104">
        <v>75807261.599999994</v>
      </c>
      <c r="Q104">
        <f t="shared" si="39"/>
        <v>1503793244.3859997</v>
      </c>
      <c r="S104">
        <f t="shared" si="40"/>
        <v>0.94835075639024269</v>
      </c>
      <c r="T104">
        <f t="shared" si="41"/>
        <v>1.23854926530174E-3</v>
      </c>
      <c r="U104">
        <f t="shared" si="42"/>
        <v>5.0410694344455692E-2</v>
      </c>
    </row>
    <row r="105" spans="1:21" ht="16" x14ac:dyDescent="0.2">
      <c r="A105" t="s">
        <v>130</v>
      </c>
      <c r="B105">
        <v>4</v>
      </c>
      <c r="C105" s="6">
        <v>23</v>
      </c>
      <c r="D105" s="6">
        <v>31</v>
      </c>
      <c r="E105">
        <f t="shared" si="34"/>
        <v>74.95</v>
      </c>
      <c r="G105">
        <v>59702701.103</v>
      </c>
      <c r="H105">
        <v>7143083.2860000003</v>
      </c>
      <c r="I105">
        <v>99241306.707000002</v>
      </c>
      <c r="J105">
        <v>374067952.26700002</v>
      </c>
      <c r="K105">
        <v>55954116.377999999</v>
      </c>
      <c r="O105">
        <v>14110947.300000001</v>
      </c>
      <c r="Q105">
        <f t="shared" si="39"/>
        <v>610220107.04100001</v>
      </c>
      <c r="S105">
        <f t="shared" si="40"/>
        <v>0.97687564349784384</v>
      </c>
      <c r="T105">
        <f t="shared" si="41"/>
        <v>0</v>
      </c>
      <c r="U105">
        <f t="shared" si="42"/>
        <v>2.3124356502156201E-2</v>
      </c>
    </row>
    <row r="111" spans="1:21" ht="16" x14ac:dyDescent="0.2">
      <c r="A111" s="3"/>
      <c r="B111" s="3"/>
      <c r="C111" s="3"/>
      <c r="D111" s="3"/>
      <c r="E111" s="3"/>
      <c r="F111" s="3"/>
      <c r="G111" s="3" t="s">
        <v>42</v>
      </c>
      <c r="H111" s="3"/>
      <c r="I111" t="s">
        <v>45</v>
      </c>
      <c r="J111" t="s">
        <v>11</v>
      </c>
      <c r="K111" s="3" t="s">
        <v>11</v>
      </c>
      <c r="M111" t="s">
        <v>2</v>
      </c>
      <c r="O111" s="3" t="s">
        <v>46</v>
      </c>
    </row>
    <row r="112" spans="1:21" ht="16" x14ac:dyDescent="0.2">
      <c r="A112" s="3"/>
      <c r="B112" s="3"/>
      <c r="C112" s="3"/>
      <c r="D112" s="3"/>
      <c r="E112" s="3" t="s">
        <v>43</v>
      </c>
      <c r="F112" s="3"/>
      <c r="G112" s="3">
        <v>2</v>
      </c>
      <c r="H112" s="3">
        <v>1</v>
      </c>
      <c r="I112">
        <v>2</v>
      </c>
      <c r="J112" s="3">
        <v>2</v>
      </c>
      <c r="K112" s="3">
        <v>1</v>
      </c>
      <c r="M112" s="3">
        <v>1</v>
      </c>
      <c r="O112" s="3">
        <v>1</v>
      </c>
    </row>
    <row r="113" spans="1:21" ht="16" x14ac:dyDescent="0.2">
      <c r="A113" s="3" t="s">
        <v>44</v>
      </c>
      <c r="B113" s="3" t="s">
        <v>47</v>
      </c>
      <c r="C113" s="3" t="s">
        <v>15</v>
      </c>
      <c r="D113" s="3" t="s">
        <v>16</v>
      </c>
      <c r="E113" s="3" t="s">
        <v>10</v>
      </c>
      <c r="F113" s="3"/>
      <c r="G113" s="3">
        <v>346.66289999999998</v>
      </c>
      <c r="H113" s="3">
        <v>692.31849999999997</v>
      </c>
      <c r="I113">
        <v>367.17630000000003</v>
      </c>
      <c r="J113" s="1">
        <v>352.66289999999998</v>
      </c>
      <c r="K113" s="3">
        <v>704.31799999999998</v>
      </c>
      <c r="M113" s="3">
        <v>892.33280000000002</v>
      </c>
      <c r="O113" s="4">
        <v>844.32452999999998</v>
      </c>
      <c r="Q113" t="s">
        <v>0</v>
      </c>
      <c r="S113" t="s">
        <v>1</v>
      </c>
      <c r="T113" t="s">
        <v>2</v>
      </c>
      <c r="U113" t="s">
        <v>3</v>
      </c>
    </row>
    <row r="114" spans="1:21" ht="16" x14ac:dyDescent="0.2">
      <c r="A114" s="3"/>
      <c r="B114" s="3">
        <v>1</v>
      </c>
      <c r="C114" s="3">
        <v>20</v>
      </c>
      <c r="D114" s="3">
        <v>39</v>
      </c>
      <c r="E114" s="3">
        <v>0</v>
      </c>
      <c r="F114" s="3"/>
      <c r="G114" s="3"/>
      <c r="H114" s="3"/>
      <c r="J114" s="1"/>
      <c r="K114" s="3"/>
      <c r="M114" s="3"/>
      <c r="O114" s="4"/>
      <c r="S114">
        <v>1</v>
      </c>
      <c r="T114">
        <v>0</v>
      </c>
      <c r="U114">
        <v>0</v>
      </c>
    </row>
    <row r="115" spans="1:21" x14ac:dyDescent="0.2">
      <c r="A115" t="s">
        <v>215</v>
      </c>
      <c r="B115">
        <v>1</v>
      </c>
      <c r="C115">
        <v>20</v>
      </c>
      <c r="D115">
        <v>42</v>
      </c>
      <c r="E115">
        <f>(B115-$B$114)*24+(C115-$C$114)+(D115-$D$114)/60</f>
        <v>0.05</v>
      </c>
      <c r="G115">
        <v>1292087819.8199999</v>
      </c>
      <c r="H115">
        <v>41268716.990999997</v>
      </c>
      <c r="I115">
        <v>8498473.9989999998</v>
      </c>
      <c r="J115">
        <v>43009553.291000001</v>
      </c>
      <c r="K115">
        <v>2790222.3640000001</v>
      </c>
      <c r="M115">
        <v>22224169.734999999</v>
      </c>
      <c r="O115">
        <v>123238691.21799999</v>
      </c>
      <c r="Q115">
        <f>SUM(G115:O115)</f>
        <v>1533117647.4179997</v>
      </c>
      <c r="S115">
        <f>SUM(G115:K115)/Q115</f>
        <v>0.90511957044002389</v>
      </c>
      <c r="T115">
        <f>SUM(M115/Q115)</f>
        <v>1.4496062824942911E-2</v>
      </c>
      <c r="U115">
        <f>O115/Q115</f>
        <v>8.0384366735033311E-2</v>
      </c>
    </row>
    <row r="116" spans="1:21" x14ac:dyDescent="0.2">
      <c r="A116" t="s">
        <v>216</v>
      </c>
      <c r="B116">
        <v>1</v>
      </c>
      <c r="C116">
        <v>21</v>
      </c>
      <c r="D116">
        <v>19</v>
      </c>
      <c r="E116">
        <f t="shared" ref="E116:E142" si="43">(B116-$B$114)*24+(C116-$C$114)+(D116-$D$114)/60</f>
        <v>0.66666666666666674</v>
      </c>
      <c r="G116">
        <v>51307831.483999997</v>
      </c>
      <c r="H116">
        <v>1664072.7069999999</v>
      </c>
      <c r="I116">
        <v>10029379.498</v>
      </c>
      <c r="J116">
        <v>92602716.169</v>
      </c>
      <c r="K116">
        <v>4786246.2410000004</v>
      </c>
      <c r="M116">
        <v>18251635.068999998</v>
      </c>
      <c r="O116">
        <v>637380847.27900004</v>
      </c>
      <c r="Q116">
        <f t="shared" ref="Q116:Q142" si="44">SUM(G116:O116)</f>
        <v>816022728.44700003</v>
      </c>
      <c r="S116">
        <f t="shared" ref="S116:S142" si="45">SUM(G116:K116)/Q116</f>
        <v>0.19655119950426378</v>
      </c>
      <c r="T116">
        <f t="shared" ref="T116:T142" si="46">SUM(M116/Q116)</f>
        <v>2.2366576852259117E-2</v>
      </c>
      <c r="U116">
        <f t="shared" ref="U116:U142" si="47">O116/Q116</f>
        <v>0.78108222364347712</v>
      </c>
    </row>
    <row r="117" spans="1:21" ht="16" x14ac:dyDescent="0.2">
      <c r="A117" t="s">
        <v>217</v>
      </c>
      <c r="B117">
        <v>1</v>
      </c>
      <c r="C117" s="6">
        <v>21</v>
      </c>
      <c r="D117">
        <v>55</v>
      </c>
      <c r="E117">
        <f t="shared" si="43"/>
        <v>1.2666666666666666</v>
      </c>
      <c r="G117">
        <v>31522263.901000001</v>
      </c>
      <c r="H117">
        <v>1334949.8970000001</v>
      </c>
      <c r="I117">
        <v>11078029.403999999</v>
      </c>
      <c r="J117">
        <v>93461271.011000007</v>
      </c>
      <c r="K117">
        <v>5228977.4050000003</v>
      </c>
      <c r="M117">
        <v>34596413.914999999</v>
      </c>
      <c r="O117">
        <v>694097166.796</v>
      </c>
      <c r="Q117">
        <f t="shared" si="44"/>
        <v>871319072.329</v>
      </c>
      <c r="S117">
        <f t="shared" si="45"/>
        <v>0.1636891652523661</v>
      </c>
      <c r="T117">
        <f t="shared" si="46"/>
        <v>3.9705792072845608E-2</v>
      </c>
      <c r="U117">
        <f t="shared" si="47"/>
        <v>0.79660504267478827</v>
      </c>
    </row>
    <row r="118" spans="1:21" ht="16" x14ac:dyDescent="0.2">
      <c r="A118" t="s">
        <v>218</v>
      </c>
      <c r="B118">
        <v>1</v>
      </c>
      <c r="C118" s="6">
        <v>22</v>
      </c>
      <c r="D118">
        <v>31</v>
      </c>
      <c r="E118">
        <f t="shared" si="43"/>
        <v>1.8666666666666667</v>
      </c>
      <c r="G118">
        <v>28415967.927999999</v>
      </c>
      <c r="H118">
        <v>1123243.0209999999</v>
      </c>
      <c r="I118">
        <v>11253160.899</v>
      </c>
      <c r="J118">
        <v>88339753.322999999</v>
      </c>
      <c r="K118">
        <v>5399089.7570000002</v>
      </c>
      <c r="M118">
        <v>45696222.556000002</v>
      </c>
      <c r="O118">
        <v>692794808.83299994</v>
      </c>
      <c r="Q118">
        <f t="shared" si="44"/>
        <v>873022246.31699991</v>
      </c>
      <c r="S118">
        <f t="shared" si="45"/>
        <v>0.15409826667710236</v>
      </c>
      <c r="T118">
        <f t="shared" si="46"/>
        <v>5.2342563719054894E-2</v>
      </c>
      <c r="U118">
        <f t="shared" si="47"/>
        <v>0.79355916960384276</v>
      </c>
    </row>
    <row r="119" spans="1:21" ht="16" x14ac:dyDescent="0.2">
      <c r="A119" t="s">
        <v>219</v>
      </c>
      <c r="B119">
        <v>1</v>
      </c>
      <c r="C119" s="6">
        <v>23</v>
      </c>
      <c r="D119">
        <v>7</v>
      </c>
      <c r="E119">
        <f>(B119-$B$114)*24+(C119-$C$114)+(D119-$D$114)/60</f>
        <v>2.4666666666666668</v>
      </c>
      <c r="G119">
        <v>28225082.296</v>
      </c>
      <c r="H119">
        <v>977921.87899999996</v>
      </c>
      <c r="I119">
        <v>11002082.969000001</v>
      </c>
      <c r="J119">
        <v>85983602.302000001</v>
      </c>
      <c r="K119">
        <v>5356212.6869999999</v>
      </c>
      <c r="M119">
        <v>55216245.333999999</v>
      </c>
      <c r="O119">
        <v>698682926.83099997</v>
      </c>
      <c r="Q119">
        <f t="shared" si="44"/>
        <v>885444074.29799998</v>
      </c>
      <c r="S119">
        <f t="shared" si="45"/>
        <v>0.14856376133895502</v>
      </c>
      <c r="T119">
        <f t="shared" si="46"/>
        <v>6.2359946762054599E-2</v>
      </c>
      <c r="U119">
        <f t="shared" si="47"/>
        <v>0.78907629189899042</v>
      </c>
    </row>
    <row r="120" spans="1:21" ht="16" x14ac:dyDescent="0.2">
      <c r="A120" t="s">
        <v>220</v>
      </c>
      <c r="B120">
        <v>1</v>
      </c>
      <c r="C120" s="6">
        <v>23</v>
      </c>
      <c r="D120">
        <v>43</v>
      </c>
      <c r="E120">
        <f t="shared" si="43"/>
        <v>3.0666666666666669</v>
      </c>
      <c r="G120">
        <v>30542659.646000002</v>
      </c>
      <c r="H120">
        <v>1286807.165</v>
      </c>
      <c r="I120">
        <v>11325925.620999999</v>
      </c>
      <c r="J120">
        <v>82948800.329999998</v>
      </c>
      <c r="K120">
        <v>5102256.9230000004</v>
      </c>
      <c r="M120">
        <v>61310919.015000001</v>
      </c>
      <c r="O120">
        <v>700770601.08500004</v>
      </c>
      <c r="Q120">
        <f t="shared" si="44"/>
        <v>893287969.78500009</v>
      </c>
      <c r="S120">
        <f t="shared" si="45"/>
        <v>0.14688035003603514</v>
      </c>
      <c r="T120">
        <f t="shared" si="46"/>
        <v>6.8635111060273812E-2</v>
      </c>
      <c r="U120">
        <f t="shared" si="47"/>
        <v>0.78448453890369096</v>
      </c>
    </row>
    <row r="121" spans="1:21" ht="16" x14ac:dyDescent="0.2">
      <c r="A121" t="s">
        <v>221</v>
      </c>
      <c r="B121">
        <v>2</v>
      </c>
      <c r="C121" s="6">
        <v>0</v>
      </c>
      <c r="D121">
        <v>20</v>
      </c>
      <c r="E121">
        <f t="shared" si="43"/>
        <v>3.6833333333333336</v>
      </c>
      <c r="G121">
        <v>34878864.395000003</v>
      </c>
      <c r="H121">
        <v>1330905.1640000001</v>
      </c>
      <c r="I121">
        <v>11686146.661</v>
      </c>
      <c r="J121">
        <v>84860134.785999998</v>
      </c>
      <c r="K121">
        <v>5166548.25</v>
      </c>
      <c r="M121">
        <v>64935802.796999998</v>
      </c>
      <c r="O121">
        <v>692880017.71800005</v>
      </c>
      <c r="Q121">
        <f t="shared" si="44"/>
        <v>895738419.77100003</v>
      </c>
      <c r="S121">
        <f t="shared" si="45"/>
        <v>0.15397642460313424</v>
      </c>
      <c r="T121">
        <f t="shared" si="46"/>
        <v>7.2494158298581357E-2</v>
      </c>
      <c r="U121">
        <f t="shared" si="47"/>
        <v>0.77352941709828438</v>
      </c>
    </row>
    <row r="122" spans="1:21" ht="16" x14ac:dyDescent="0.2">
      <c r="A122" t="s">
        <v>222</v>
      </c>
      <c r="B122">
        <v>2</v>
      </c>
      <c r="C122" s="6">
        <v>0</v>
      </c>
      <c r="D122">
        <v>56</v>
      </c>
      <c r="E122">
        <f t="shared" si="43"/>
        <v>4.2833333333333332</v>
      </c>
      <c r="G122">
        <v>38540449.857000001</v>
      </c>
      <c r="H122">
        <v>1491144.446</v>
      </c>
      <c r="I122">
        <v>11695273.106000001</v>
      </c>
      <c r="J122">
        <v>80332541.916999996</v>
      </c>
      <c r="K122">
        <v>4963874.074</v>
      </c>
      <c r="M122">
        <v>63020751.527999997</v>
      </c>
      <c r="O122">
        <v>700991388.90499997</v>
      </c>
      <c r="Q122">
        <f t="shared" si="44"/>
        <v>901035423.83299994</v>
      </c>
      <c r="S122">
        <f t="shared" si="45"/>
        <v>0.15207313694405453</v>
      </c>
      <c r="T122">
        <f t="shared" si="46"/>
        <v>6.9942590336692922E-2</v>
      </c>
      <c r="U122">
        <f t="shared" si="47"/>
        <v>0.77798427271925263</v>
      </c>
    </row>
    <row r="123" spans="1:21" ht="16" x14ac:dyDescent="0.2">
      <c r="A123" t="s">
        <v>223</v>
      </c>
      <c r="B123">
        <v>2</v>
      </c>
      <c r="C123" s="6">
        <v>1</v>
      </c>
      <c r="D123">
        <v>32</v>
      </c>
      <c r="E123">
        <f>(B123-$B$114)*24+(C123-$C$114)+(D123-$D$114)/60</f>
        <v>4.8833333333333337</v>
      </c>
      <c r="G123">
        <v>49036656.148000002</v>
      </c>
      <c r="H123">
        <v>1906614.574</v>
      </c>
      <c r="I123">
        <v>12967852.593</v>
      </c>
      <c r="J123">
        <v>84355646.031000003</v>
      </c>
      <c r="K123">
        <v>5069911.358</v>
      </c>
      <c r="M123">
        <v>66994982.787</v>
      </c>
      <c r="O123">
        <v>723975493.648</v>
      </c>
      <c r="Q123">
        <f t="shared" si="44"/>
        <v>944307157.13900006</v>
      </c>
      <c r="S123">
        <f t="shared" si="45"/>
        <v>0.16238008951300278</v>
      </c>
      <c r="T123">
        <f t="shared" si="46"/>
        <v>7.0946177078628742E-2</v>
      </c>
      <c r="U123">
        <f t="shared" si="47"/>
        <v>0.76667373340836842</v>
      </c>
    </row>
    <row r="124" spans="1:21" ht="16" x14ac:dyDescent="0.2">
      <c r="A124" t="s">
        <v>224</v>
      </c>
      <c r="B124">
        <v>2</v>
      </c>
      <c r="C124" s="6">
        <v>2</v>
      </c>
      <c r="D124">
        <v>8</v>
      </c>
      <c r="E124">
        <f t="shared" si="43"/>
        <v>5.4833333333333334</v>
      </c>
      <c r="G124">
        <v>58481161.838</v>
      </c>
      <c r="H124">
        <v>2134892.1030000001</v>
      </c>
      <c r="I124">
        <v>14250934.424000001</v>
      </c>
      <c r="J124">
        <v>86931075.947999999</v>
      </c>
      <c r="K124">
        <v>5350898.7630000003</v>
      </c>
      <c r="M124">
        <v>61689714.395000003</v>
      </c>
      <c r="O124">
        <v>707891013.94799995</v>
      </c>
      <c r="Q124">
        <f t="shared" si="44"/>
        <v>936729691.41899991</v>
      </c>
      <c r="S124">
        <f t="shared" si="45"/>
        <v>0.17843884378512151</v>
      </c>
      <c r="T124">
        <f t="shared" si="46"/>
        <v>6.5856473815354005E-2</v>
      </c>
      <c r="U124">
        <f t="shared" si="47"/>
        <v>0.75570468239952449</v>
      </c>
    </row>
    <row r="125" spans="1:21" ht="16" x14ac:dyDescent="0.2">
      <c r="A125" t="s">
        <v>225</v>
      </c>
      <c r="B125">
        <v>2</v>
      </c>
      <c r="C125" s="6">
        <v>2</v>
      </c>
      <c r="D125">
        <v>44</v>
      </c>
      <c r="E125">
        <f t="shared" si="43"/>
        <v>6.083333333333333</v>
      </c>
      <c r="G125">
        <v>69089030.512999997</v>
      </c>
      <c r="H125">
        <v>2558176.66</v>
      </c>
      <c r="I125">
        <v>14691059.1</v>
      </c>
      <c r="J125">
        <v>89159655.737000003</v>
      </c>
      <c r="K125">
        <v>5521802.2429999998</v>
      </c>
      <c r="M125">
        <v>59497159.523999996</v>
      </c>
      <c r="O125">
        <v>732697350.80900002</v>
      </c>
      <c r="Q125">
        <f t="shared" si="44"/>
        <v>973214234.58599997</v>
      </c>
      <c r="S125">
        <f t="shared" si="45"/>
        <v>0.18600192827019715</v>
      </c>
      <c r="T125">
        <f t="shared" si="46"/>
        <v>6.1134699236401698E-2</v>
      </c>
      <c r="U125">
        <f t="shared" si="47"/>
        <v>0.75286337249340118</v>
      </c>
    </row>
    <row r="126" spans="1:21" ht="16" x14ac:dyDescent="0.2">
      <c r="A126" t="s">
        <v>226</v>
      </c>
      <c r="B126">
        <v>2</v>
      </c>
      <c r="C126" s="6">
        <v>3</v>
      </c>
      <c r="D126">
        <v>20</v>
      </c>
      <c r="E126">
        <f t="shared" si="43"/>
        <v>6.6833333333333336</v>
      </c>
      <c r="G126">
        <v>77761117.552000001</v>
      </c>
      <c r="H126">
        <v>3029466.628</v>
      </c>
      <c r="I126">
        <v>15895116.429</v>
      </c>
      <c r="J126">
        <v>95115455.648000002</v>
      </c>
      <c r="K126">
        <v>5967848.9649999999</v>
      </c>
      <c r="M126">
        <v>55649214.509999998</v>
      </c>
      <c r="O126">
        <v>689283865.75399995</v>
      </c>
      <c r="Q126">
        <f t="shared" si="44"/>
        <v>942702085.48599994</v>
      </c>
      <c r="S126">
        <f t="shared" si="45"/>
        <v>0.20978950642720001</v>
      </c>
      <c r="T126">
        <f t="shared" si="46"/>
        <v>5.9031602206873916E-2</v>
      </c>
      <c r="U126">
        <f t="shared" si="47"/>
        <v>0.73117889136592606</v>
      </c>
    </row>
    <row r="127" spans="1:21" ht="16" x14ac:dyDescent="0.2">
      <c r="A127" t="s">
        <v>227</v>
      </c>
      <c r="B127">
        <v>2</v>
      </c>
      <c r="C127" s="6">
        <v>3</v>
      </c>
      <c r="D127">
        <v>57</v>
      </c>
      <c r="E127">
        <f t="shared" si="43"/>
        <v>7.3</v>
      </c>
      <c r="G127">
        <v>86365298.994000003</v>
      </c>
      <c r="H127">
        <v>3461822.2960000001</v>
      </c>
      <c r="I127">
        <v>17919219.464000002</v>
      </c>
      <c r="J127">
        <v>103764599.823</v>
      </c>
      <c r="K127">
        <v>6325869.909</v>
      </c>
      <c r="M127">
        <v>55115341.006999999</v>
      </c>
      <c r="O127">
        <v>696162997.05900002</v>
      </c>
      <c r="Q127">
        <f t="shared" si="44"/>
        <v>969115148.55200005</v>
      </c>
      <c r="S127">
        <f t="shared" si="45"/>
        <v>0.22477907894792495</v>
      </c>
      <c r="T127">
        <f t="shared" si="46"/>
        <v>5.6871818678461881E-2</v>
      </c>
      <c r="U127">
        <f t="shared" si="47"/>
        <v>0.71834910237361316</v>
      </c>
    </row>
    <row r="128" spans="1:21" ht="16" x14ac:dyDescent="0.2">
      <c r="A128" t="s">
        <v>228</v>
      </c>
      <c r="B128">
        <v>2</v>
      </c>
      <c r="C128" s="6">
        <v>4</v>
      </c>
      <c r="D128">
        <v>33</v>
      </c>
      <c r="E128">
        <f t="shared" si="43"/>
        <v>7.9</v>
      </c>
      <c r="G128">
        <v>94682411.415999994</v>
      </c>
      <c r="H128">
        <v>3697192.9360000002</v>
      </c>
      <c r="I128">
        <v>19989566.096999999</v>
      </c>
      <c r="J128">
        <v>112900119.197</v>
      </c>
      <c r="K128">
        <v>6819891.3269999996</v>
      </c>
      <c r="M128">
        <v>51007523.669</v>
      </c>
      <c r="O128">
        <v>697971604.148</v>
      </c>
      <c r="Q128">
        <f t="shared" si="44"/>
        <v>987068308.78999996</v>
      </c>
      <c r="S128">
        <f t="shared" si="45"/>
        <v>0.24120841369617285</v>
      </c>
      <c r="T128">
        <f t="shared" si="46"/>
        <v>5.1675778884571519E-2</v>
      </c>
      <c r="U128">
        <f t="shared" si="47"/>
        <v>0.70711580741925562</v>
      </c>
    </row>
    <row r="129" spans="1:21" ht="16" x14ac:dyDescent="0.2">
      <c r="A129" t="s">
        <v>229</v>
      </c>
      <c r="B129">
        <v>2</v>
      </c>
      <c r="C129" s="6">
        <v>5</v>
      </c>
      <c r="D129">
        <v>9</v>
      </c>
      <c r="E129">
        <f t="shared" si="43"/>
        <v>8.5</v>
      </c>
      <c r="G129">
        <v>107189670.99600001</v>
      </c>
      <c r="H129">
        <v>4157935.892</v>
      </c>
      <c r="I129">
        <v>23060677.881999999</v>
      </c>
      <c r="J129">
        <v>126200670.11399999</v>
      </c>
      <c r="K129">
        <v>7787751.5039999997</v>
      </c>
      <c r="M129">
        <v>48465785.310999997</v>
      </c>
      <c r="O129">
        <v>691639047.21599996</v>
      </c>
      <c r="Q129">
        <f t="shared" si="44"/>
        <v>1008501538.915</v>
      </c>
      <c r="S129">
        <f t="shared" si="45"/>
        <v>0.26613415649990535</v>
      </c>
      <c r="T129">
        <f t="shared" si="46"/>
        <v>4.8057224943000174E-2</v>
      </c>
      <c r="U129">
        <f t="shared" si="47"/>
        <v>0.68580861855709441</v>
      </c>
    </row>
    <row r="130" spans="1:21" ht="16" x14ac:dyDescent="0.2">
      <c r="A130" t="s">
        <v>230</v>
      </c>
      <c r="B130">
        <v>2</v>
      </c>
      <c r="C130" s="6">
        <v>5</v>
      </c>
      <c r="D130">
        <v>45</v>
      </c>
      <c r="E130">
        <f t="shared" si="43"/>
        <v>9.1</v>
      </c>
      <c r="G130">
        <v>113743340.668</v>
      </c>
      <c r="H130">
        <v>4401758.6560000004</v>
      </c>
      <c r="I130">
        <v>25265171.094000001</v>
      </c>
      <c r="J130">
        <v>135510131.22600001</v>
      </c>
      <c r="K130">
        <v>8487931.2249999996</v>
      </c>
      <c r="M130">
        <v>47773146.362000003</v>
      </c>
      <c r="O130">
        <v>679982740.27999997</v>
      </c>
      <c r="Q130">
        <f t="shared" si="44"/>
        <v>1015164219.511</v>
      </c>
      <c r="S130">
        <f t="shared" si="45"/>
        <v>0.28311511314636695</v>
      </c>
      <c r="T130">
        <f t="shared" si="46"/>
        <v>4.7059525388918957E-2</v>
      </c>
      <c r="U130">
        <f t="shared" si="47"/>
        <v>0.66982536146471405</v>
      </c>
    </row>
    <row r="131" spans="1:21" ht="16" x14ac:dyDescent="0.2">
      <c r="A131" t="s">
        <v>231</v>
      </c>
      <c r="B131">
        <v>2</v>
      </c>
      <c r="C131" s="6">
        <v>6</v>
      </c>
      <c r="D131">
        <v>21</v>
      </c>
      <c r="E131">
        <f t="shared" si="43"/>
        <v>9.6999999999999993</v>
      </c>
      <c r="G131">
        <v>127946509.708</v>
      </c>
      <c r="H131">
        <v>4995668.8619999997</v>
      </c>
      <c r="I131">
        <v>29140340.315000001</v>
      </c>
      <c r="J131">
        <v>155439863.46000001</v>
      </c>
      <c r="K131">
        <v>10121202.961999999</v>
      </c>
      <c r="M131">
        <v>46399223.880000003</v>
      </c>
      <c r="O131">
        <v>700913050.23399997</v>
      </c>
      <c r="Q131">
        <f t="shared" si="44"/>
        <v>1074955859.421</v>
      </c>
      <c r="S131">
        <f t="shared" si="45"/>
        <v>0.30479724579898343</v>
      </c>
      <c r="T131">
        <f t="shared" si="46"/>
        <v>4.3163841076220441E-2</v>
      </c>
      <c r="U131">
        <f t="shared" si="47"/>
        <v>0.65203891312479612</v>
      </c>
    </row>
    <row r="132" spans="1:21" ht="16" x14ac:dyDescent="0.2">
      <c r="A132" t="s">
        <v>232</v>
      </c>
      <c r="B132">
        <v>2</v>
      </c>
      <c r="C132" s="6">
        <v>6</v>
      </c>
      <c r="D132">
        <v>58</v>
      </c>
      <c r="E132">
        <f t="shared" si="43"/>
        <v>10.316666666666666</v>
      </c>
      <c r="G132">
        <v>136045533.70500001</v>
      </c>
      <c r="H132">
        <v>5610192.415</v>
      </c>
      <c r="I132">
        <v>32645466.463</v>
      </c>
      <c r="J132">
        <v>172265277.995</v>
      </c>
      <c r="K132">
        <v>10730455.540999999</v>
      </c>
      <c r="M132">
        <v>44759125.030000001</v>
      </c>
      <c r="O132">
        <v>692650400.38600004</v>
      </c>
      <c r="Q132">
        <f t="shared" si="44"/>
        <v>1094706451.5350001</v>
      </c>
      <c r="S132">
        <f t="shared" si="45"/>
        <v>0.32638606049868196</v>
      </c>
      <c r="T132">
        <f t="shared" si="46"/>
        <v>4.0886874254955421E-2</v>
      </c>
      <c r="U132">
        <f t="shared" si="47"/>
        <v>0.63272706524636257</v>
      </c>
    </row>
    <row r="133" spans="1:21" ht="16" x14ac:dyDescent="0.2">
      <c r="A133" t="s">
        <v>233</v>
      </c>
      <c r="B133">
        <v>2</v>
      </c>
      <c r="C133" s="6">
        <v>7</v>
      </c>
      <c r="D133">
        <v>34</v>
      </c>
      <c r="E133">
        <f t="shared" si="43"/>
        <v>10.916666666666666</v>
      </c>
      <c r="G133">
        <v>140088212.92899999</v>
      </c>
      <c r="H133">
        <v>5528462.9249999998</v>
      </c>
      <c r="I133">
        <v>35617480.251999997</v>
      </c>
      <c r="J133">
        <v>183828452.98800001</v>
      </c>
      <c r="K133">
        <v>10861395.547</v>
      </c>
      <c r="M133">
        <v>41241744.116999999</v>
      </c>
      <c r="O133">
        <v>691702921.37399995</v>
      </c>
      <c r="Q133">
        <f t="shared" si="44"/>
        <v>1108868670.132</v>
      </c>
      <c r="S133">
        <f t="shared" si="45"/>
        <v>0.33901580481685889</v>
      </c>
      <c r="T133">
        <f t="shared" si="46"/>
        <v>3.7192631758719064E-2</v>
      </c>
      <c r="U133">
        <f t="shared" si="47"/>
        <v>0.62379156342442199</v>
      </c>
    </row>
    <row r="134" spans="1:21" ht="16" x14ac:dyDescent="0.2">
      <c r="A134" t="s">
        <v>234</v>
      </c>
      <c r="B134">
        <v>2</v>
      </c>
      <c r="C134" s="6">
        <v>8</v>
      </c>
      <c r="D134">
        <v>10</v>
      </c>
      <c r="E134">
        <f t="shared" si="43"/>
        <v>11.516666666666667</v>
      </c>
      <c r="G134">
        <v>149241587.93599999</v>
      </c>
      <c r="H134">
        <v>6088449.9050000003</v>
      </c>
      <c r="I134">
        <v>39250952.267999999</v>
      </c>
      <c r="J134">
        <v>199698328.16999999</v>
      </c>
      <c r="K134">
        <v>12250929.285</v>
      </c>
      <c r="M134">
        <v>36299165.571000002</v>
      </c>
      <c r="O134">
        <v>671043047.10800004</v>
      </c>
      <c r="Q134">
        <f t="shared" si="44"/>
        <v>1113872460.243</v>
      </c>
      <c r="S134">
        <f t="shared" si="45"/>
        <v>0.3649701936928329</v>
      </c>
      <c r="T134">
        <f t="shared" si="46"/>
        <v>3.258826020627268E-2</v>
      </c>
      <c r="U134">
        <f t="shared" si="47"/>
        <v>0.60244154610089451</v>
      </c>
    </row>
    <row r="135" spans="1:21" ht="16" x14ac:dyDescent="0.2">
      <c r="A135" t="s">
        <v>235</v>
      </c>
      <c r="B135">
        <v>2</v>
      </c>
      <c r="C135" s="6">
        <v>8</v>
      </c>
      <c r="D135">
        <v>46</v>
      </c>
      <c r="E135">
        <f t="shared" si="43"/>
        <v>12.116666666666667</v>
      </c>
      <c r="G135">
        <v>159317758.252</v>
      </c>
      <c r="H135">
        <v>6290452.2209999999</v>
      </c>
      <c r="I135">
        <v>43031946.552000001</v>
      </c>
      <c r="J135">
        <v>220013647.41</v>
      </c>
      <c r="K135">
        <v>13177061.82</v>
      </c>
      <c r="M135">
        <v>35166852.023000002</v>
      </c>
      <c r="O135">
        <v>673505722.30200005</v>
      </c>
      <c r="Q135">
        <f t="shared" si="44"/>
        <v>1150503440.5799999</v>
      </c>
      <c r="S135">
        <f t="shared" si="45"/>
        <v>0.38403263360278267</v>
      </c>
      <c r="T135">
        <f t="shared" si="46"/>
        <v>3.056649009695394E-2</v>
      </c>
      <c r="U135">
        <f t="shared" si="47"/>
        <v>0.5854008763002635</v>
      </c>
    </row>
    <row r="136" spans="1:21" ht="16" x14ac:dyDescent="0.2">
      <c r="A136" t="s">
        <v>236</v>
      </c>
      <c r="B136">
        <v>2</v>
      </c>
      <c r="C136" s="6">
        <v>12</v>
      </c>
      <c r="D136">
        <v>41</v>
      </c>
      <c r="E136">
        <f t="shared" si="43"/>
        <v>16.033333333333335</v>
      </c>
      <c r="G136">
        <v>181657182.84099999</v>
      </c>
      <c r="H136">
        <v>6990234.1809999999</v>
      </c>
      <c r="I136">
        <v>63315986.667999998</v>
      </c>
      <c r="J136">
        <v>302453584.35900003</v>
      </c>
      <c r="K136">
        <v>19462667.973999999</v>
      </c>
      <c r="M136">
        <v>18769626.978</v>
      </c>
      <c r="O136">
        <v>567424246.54100001</v>
      </c>
      <c r="Q136">
        <f t="shared" si="44"/>
        <v>1160073529.5420001</v>
      </c>
      <c r="S136">
        <f t="shared" si="45"/>
        <v>0.49469248406139321</v>
      </c>
      <c r="T136">
        <f t="shared" si="46"/>
        <v>1.6179687321553053E-2</v>
      </c>
      <c r="U136">
        <f t="shared" si="47"/>
        <v>0.48912782861705373</v>
      </c>
    </row>
    <row r="137" spans="1:21" ht="16" x14ac:dyDescent="0.2">
      <c r="A137" t="s">
        <v>237</v>
      </c>
      <c r="B137">
        <v>2</v>
      </c>
      <c r="C137" s="6">
        <v>18</v>
      </c>
      <c r="D137">
        <v>43</v>
      </c>
      <c r="E137">
        <f t="shared" si="43"/>
        <v>22.066666666666666</v>
      </c>
      <c r="G137">
        <v>251086435.15700001</v>
      </c>
      <c r="H137">
        <v>10060788.914999999</v>
      </c>
      <c r="I137">
        <v>112614973.05</v>
      </c>
      <c r="J137">
        <v>444253296.38200003</v>
      </c>
      <c r="K137">
        <v>28833025.925999999</v>
      </c>
      <c r="M137">
        <v>8538569.9250000007</v>
      </c>
      <c r="O137">
        <v>439728759.88999999</v>
      </c>
      <c r="Q137">
        <f t="shared" si="44"/>
        <v>1295115849.2449999</v>
      </c>
      <c r="S137">
        <f t="shared" si="45"/>
        <v>0.65387858539734367</v>
      </c>
      <c r="T137">
        <f t="shared" si="46"/>
        <v>6.5929004961043768E-3</v>
      </c>
      <c r="U137">
        <f t="shared" si="47"/>
        <v>0.33952851410655199</v>
      </c>
    </row>
    <row r="138" spans="1:21" ht="16" x14ac:dyDescent="0.2">
      <c r="A138" t="s">
        <v>238</v>
      </c>
      <c r="B138">
        <v>3</v>
      </c>
      <c r="C138" s="6">
        <v>9</v>
      </c>
      <c r="D138">
        <v>13</v>
      </c>
      <c r="E138">
        <f t="shared" si="43"/>
        <v>36.56666666666667</v>
      </c>
      <c r="G138">
        <v>341819794.77700001</v>
      </c>
      <c r="H138">
        <v>13384493.887</v>
      </c>
      <c r="I138">
        <v>271612432.63999999</v>
      </c>
      <c r="J138">
        <v>666082753.00399995</v>
      </c>
      <c r="K138">
        <v>43523673.796999998</v>
      </c>
      <c r="M138">
        <v>1044870.524</v>
      </c>
      <c r="O138">
        <v>219403473.44299999</v>
      </c>
      <c r="Q138">
        <f t="shared" si="44"/>
        <v>1556871492.072</v>
      </c>
      <c r="S138">
        <f t="shared" si="45"/>
        <v>0.85840299273923304</v>
      </c>
      <c r="T138">
        <f t="shared" si="46"/>
        <v>6.7113472712472164E-4</v>
      </c>
      <c r="U138">
        <f t="shared" si="47"/>
        <v>0.14092587253364219</v>
      </c>
    </row>
    <row r="139" spans="1:21" ht="16" x14ac:dyDescent="0.2">
      <c r="A139" t="s">
        <v>239</v>
      </c>
      <c r="B139">
        <v>3</v>
      </c>
      <c r="C139" s="6">
        <v>13</v>
      </c>
      <c r="D139">
        <v>6</v>
      </c>
      <c r="E139">
        <f t="shared" si="43"/>
        <v>40.450000000000003</v>
      </c>
      <c r="G139">
        <v>347619267.43300003</v>
      </c>
      <c r="H139">
        <v>13753905.965</v>
      </c>
      <c r="I139">
        <v>313454972.81599998</v>
      </c>
      <c r="J139">
        <v>702337770.41100001</v>
      </c>
      <c r="K139">
        <v>45471551.147</v>
      </c>
      <c r="M139">
        <v>602084.701</v>
      </c>
      <c r="O139">
        <v>177163840.09299999</v>
      </c>
      <c r="Q139">
        <f t="shared" si="44"/>
        <v>1600403392.566</v>
      </c>
      <c r="S139">
        <f t="shared" si="45"/>
        <v>0.88892430144816192</v>
      </c>
      <c r="T139">
        <f t="shared" si="46"/>
        <v>3.7620808840866678E-4</v>
      </c>
      <c r="U139">
        <f t="shared" si="47"/>
        <v>0.11069949046342942</v>
      </c>
    </row>
    <row r="140" spans="1:21" ht="16" x14ac:dyDescent="0.2">
      <c r="A140" t="s">
        <v>240</v>
      </c>
      <c r="B140">
        <v>3</v>
      </c>
      <c r="C140" s="6">
        <v>19</v>
      </c>
      <c r="D140">
        <v>7</v>
      </c>
      <c r="E140">
        <f t="shared" si="43"/>
        <v>46.466666666666669</v>
      </c>
      <c r="G140">
        <v>354320244.16600001</v>
      </c>
      <c r="H140">
        <v>14219558.346999999</v>
      </c>
      <c r="I140">
        <v>392644223.48299998</v>
      </c>
      <c r="J140">
        <v>748266950.71800005</v>
      </c>
      <c r="K140">
        <v>48748106.252999999</v>
      </c>
      <c r="M140">
        <v>137893.09899999999</v>
      </c>
      <c r="O140">
        <v>122565308.406</v>
      </c>
      <c r="Q140">
        <f t="shared" si="44"/>
        <v>1680902284.4720001</v>
      </c>
      <c r="S140">
        <f t="shared" si="45"/>
        <v>0.9270015856135605</v>
      </c>
      <c r="T140">
        <f t="shared" si="46"/>
        <v>8.2035166632731738E-5</v>
      </c>
      <c r="U140">
        <f t="shared" si="47"/>
        <v>7.2916379219806843E-2</v>
      </c>
    </row>
    <row r="141" spans="1:21" ht="16" x14ac:dyDescent="0.2">
      <c r="A141" t="s">
        <v>241</v>
      </c>
      <c r="B141">
        <v>4</v>
      </c>
      <c r="C141" s="6">
        <v>9</v>
      </c>
      <c r="D141">
        <v>19</v>
      </c>
      <c r="E141">
        <f t="shared" si="43"/>
        <v>60.666666666666664</v>
      </c>
      <c r="G141">
        <v>313774641.48799998</v>
      </c>
      <c r="H141">
        <v>12488855.112</v>
      </c>
      <c r="I141">
        <v>523361489.55699998</v>
      </c>
      <c r="J141">
        <v>765750378.93599999</v>
      </c>
      <c r="K141">
        <v>50223445.458999999</v>
      </c>
      <c r="M141">
        <v>0</v>
      </c>
      <c r="O141">
        <v>50847543.875</v>
      </c>
      <c r="Q141">
        <f t="shared" si="44"/>
        <v>1716446354.427</v>
      </c>
      <c r="S141">
        <f t="shared" si="45"/>
        <v>0.97037626970172663</v>
      </c>
      <c r="T141">
        <f t="shared" si="46"/>
        <v>0</v>
      </c>
      <c r="U141">
        <f t="shared" si="47"/>
        <v>2.9623730298273376E-2</v>
      </c>
    </row>
    <row r="142" spans="1:21" ht="16" x14ac:dyDescent="0.2">
      <c r="A142" t="s">
        <v>242</v>
      </c>
      <c r="B142">
        <v>4</v>
      </c>
      <c r="C142" s="6">
        <v>23</v>
      </c>
      <c r="D142">
        <v>36</v>
      </c>
      <c r="E142">
        <f t="shared" si="43"/>
        <v>74.95</v>
      </c>
      <c r="G142">
        <v>84759087.166999996</v>
      </c>
      <c r="H142">
        <v>10169190.486</v>
      </c>
      <c r="I142">
        <v>303862658.93699998</v>
      </c>
      <c r="J142">
        <v>372789704.46799999</v>
      </c>
      <c r="K142">
        <v>53673669.131999999</v>
      </c>
      <c r="M142">
        <v>0</v>
      </c>
      <c r="O142">
        <v>6277331.1270000003</v>
      </c>
      <c r="Q142">
        <f t="shared" si="44"/>
        <v>831531641.31699991</v>
      </c>
      <c r="S142">
        <f t="shared" si="45"/>
        <v>0.99245088122316338</v>
      </c>
      <c r="T142">
        <f t="shared" si="46"/>
        <v>0</v>
      </c>
      <c r="U142">
        <f t="shared" si="47"/>
        <v>7.5491187768366953E-3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71B3-D106-0A4A-B343-7D33E379BE20}">
  <dimension ref="A1:AH104"/>
  <sheetViews>
    <sheetView tabSelected="1" topLeftCell="J65" workbookViewId="0">
      <selection activeCell="Z118" sqref="Z118"/>
    </sheetView>
  </sheetViews>
  <sheetFormatPr baseColWidth="10" defaultRowHeight="15" x14ac:dyDescent="0.2"/>
  <sheetData>
    <row r="1" spans="1:26" x14ac:dyDescent="0.2">
      <c r="B1" t="s">
        <v>244</v>
      </c>
      <c r="L1" s="7" t="s">
        <v>245</v>
      </c>
      <c r="M1" s="5"/>
      <c r="N1" s="1" t="s">
        <v>246</v>
      </c>
      <c r="P1" s="1"/>
      <c r="R1" s="1"/>
      <c r="U1" s="1" t="s">
        <v>247</v>
      </c>
      <c r="W1" s="1"/>
      <c r="Y1" s="1"/>
    </row>
    <row r="2" spans="1:26" x14ac:dyDescent="0.2">
      <c r="A2" t="s">
        <v>243</v>
      </c>
      <c r="B2" t="s">
        <v>10</v>
      </c>
      <c r="C2" t="s">
        <v>1</v>
      </c>
      <c r="D2" t="s">
        <v>2</v>
      </c>
      <c r="E2" t="s">
        <v>3</v>
      </c>
      <c r="G2" t="s">
        <v>10</v>
      </c>
      <c r="H2" t="s">
        <v>1</v>
      </c>
      <c r="I2" t="s">
        <v>2</v>
      </c>
      <c r="J2" t="s">
        <v>3</v>
      </c>
      <c r="L2" s="7" t="s">
        <v>20</v>
      </c>
      <c r="M2" s="5" t="s">
        <v>248</v>
      </c>
      <c r="N2" s="1" t="s">
        <v>249</v>
      </c>
      <c r="O2" t="s">
        <v>250</v>
      </c>
      <c r="P2" s="1" t="s">
        <v>2</v>
      </c>
      <c r="Q2" t="s">
        <v>251</v>
      </c>
      <c r="R2" s="1" t="s">
        <v>3</v>
      </c>
      <c r="S2" t="s">
        <v>252</v>
      </c>
      <c r="U2" s="1" t="s">
        <v>249</v>
      </c>
      <c r="V2" t="s">
        <v>250</v>
      </c>
      <c r="W2" s="1" t="s">
        <v>2</v>
      </c>
      <c r="X2" t="s">
        <v>251</v>
      </c>
      <c r="Y2" s="1" t="s">
        <v>3</v>
      </c>
      <c r="Z2" t="s">
        <v>252</v>
      </c>
    </row>
    <row r="3" spans="1:26" x14ac:dyDescent="0.2">
      <c r="B3">
        <v>0</v>
      </c>
      <c r="C3">
        <v>1</v>
      </c>
      <c r="D3">
        <v>0</v>
      </c>
      <c r="E3">
        <v>0</v>
      </c>
      <c r="G3">
        <v>0</v>
      </c>
      <c r="H3">
        <v>1</v>
      </c>
      <c r="I3">
        <v>0</v>
      </c>
      <c r="J3">
        <v>0</v>
      </c>
      <c r="L3" s="7">
        <f>AVERAGE(B3,G3)</f>
        <v>0</v>
      </c>
      <c r="M3" s="5">
        <f>_xlfn.STDEV.P(B3,G3)</f>
        <v>0</v>
      </c>
      <c r="N3" s="1">
        <f>AVERAGE(C3,H3)</f>
        <v>1</v>
      </c>
      <c r="O3">
        <f>_xlfn.STDEV.P(C3,H3)</f>
        <v>0</v>
      </c>
      <c r="P3" s="1">
        <f>AVERAGE(D3,I3)</f>
        <v>0</v>
      </c>
      <c r="Q3">
        <f>_xlfn.STDEV.P(D3,I3)</f>
        <v>0</v>
      </c>
      <c r="R3" s="1">
        <f>AVERAGE(E3,J3)</f>
        <v>0</v>
      </c>
      <c r="S3">
        <f>_xlfn.STDEV.P(E3,J3)</f>
        <v>0</v>
      </c>
      <c r="U3" s="1">
        <f>0.1*N3</f>
        <v>0.1</v>
      </c>
      <c r="V3">
        <f t="shared" ref="V3:Z18" si="0">0.1*O3</f>
        <v>0</v>
      </c>
      <c r="W3" s="1">
        <f t="shared" si="0"/>
        <v>0</v>
      </c>
      <c r="X3">
        <f t="shared" si="0"/>
        <v>0</v>
      </c>
      <c r="Y3" s="1">
        <f t="shared" si="0"/>
        <v>0</v>
      </c>
      <c r="Z3">
        <f t="shared" si="0"/>
        <v>0</v>
      </c>
    </row>
    <row r="4" spans="1:26" x14ac:dyDescent="0.2">
      <c r="B4">
        <v>3.3333333333333333E-2</v>
      </c>
      <c r="C4">
        <v>0.93394309280475063</v>
      </c>
      <c r="D4">
        <v>9.8699445491635691E-3</v>
      </c>
      <c r="E4">
        <v>5.6186962646085852E-2</v>
      </c>
      <c r="G4">
        <v>3.3333333333333333E-2</v>
      </c>
      <c r="H4">
        <v>0.92708894474573889</v>
      </c>
      <c r="I4">
        <v>9.8260938670898055E-3</v>
      </c>
      <c r="J4">
        <v>6.3084961387171345E-2</v>
      </c>
      <c r="L4" s="7">
        <f>AVERAGE(B4,G4)</f>
        <v>3.3333333333333333E-2</v>
      </c>
      <c r="M4" s="5">
        <f t="shared" ref="M4:M27" si="1">_xlfn.STDEV.P(B4,G4)</f>
        <v>0</v>
      </c>
      <c r="N4" s="1">
        <f>AVERAGE(C4,H4)</f>
        <v>0.93051601877524481</v>
      </c>
      <c r="O4">
        <f t="shared" ref="O4:O28" si="2">_xlfn.STDEV.P(C4,H4)</f>
        <v>3.4270740295058721E-3</v>
      </c>
      <c r="P4" s="1">
        <f t="shared" ref="P4:P28" si="3">AVERAGE(D4,I4)</f>
        <v>9.8480192081266873E-3</v>
      </c>
      <c r="Q4">
        <f t="shared" ref="Q4:Q28" si="4">_xlfn.STDEV.P(D4,I4)</f>
        <v>2.192534103688179E-5</v>
      </c>
      <c r="R4" s="1">
        <f t="shared" ref="R4:R28" si="5">AVERAGE(E4,J4)</f>
        <v>5.9635962016628602E-2</v>
      </c>
      <c r="S4">
        <f t="shared" ref="S4:S28" si="6">_xlfn.STDEV.P(E4,J4)</f>
        <v>3.448999370542747E-3</v>
      </c>
      <c r="U4" s="1">
        <f t="shared" ref="U4:Z28" si="7">0.1*N4</f>
        <v>9.3051601877524481E-2</v>
      </c>
      <c r="V4">
        <f t="shared" si="0"/>
        <v>3.4270740295058721E-4</v>
      </c>
      <c r="W4" s="1">
        <f t="shared" si="0"/>
        <v>9.8480192081266873E-4</v>
      </c>
      <c r="X4">
        <f t="shared" si="0"/>
        <v>2.192534103688179E-6</v>
      </c>
      <c r="Y4" s="1">
        <f t="shared" si="0"/>
        <v>5.9635962016628607E-3</v>
      </c>
      <c r="Z4">
        <f t="shared" si="0"/>
        <v>3.4489993705427474E-4</v>
      </c>
    </row>
    <row r="5" spans="1:26" x14ac:dyDescent="0.2">
      <c r="B5">
        <v>0.65</v>
      </c>
      <c r="C5">
        <v>0.23117567286298502</v>
      </c>
      <c r="D5">
        <v>2.351419615808294E-2</v>
      </c>
      <c r="E5">
        <v>0.74531013097893206</v>
      </c>
      <c r="G5">
        <v>0.65</v>
      </c>
      <c r="H5">
        <v>0.24528779467078107</v>
      </c>
      <c r="I5">
        <v>2.2985916750196251E-2</v>
      </c>
      <c r="J5">
        <v>0.73172628857902267</v>
      </c>
      <c r="L5" s="7">
        <f t="shared" ref="L4:L28" si="8">AVERAGE(B5,G5)</f>
        <v>0.65</v>
      </c>
      <c r="M5" s="5">
        <f>_xlfn.STDEV.P(B5,G5)</f>
        <v>0</v>
      </c>
      <c r="N5" s="1">
        <f t="shared" ref="N4:N28" si="9">AVERAGE(C5,H5)</f>
        <v>0.23823173376688306</v>
      </c>
      <c r="O5">
        <f t="shared" si="2"/>
        <v>7.0560609038980288E-3</v>
      </c>
      <c r="P5" s="1">
        <f t="shared" si="3"/>
        <v>2.3250056454139596E-2</v>
      </c>
      <c r="Q5">
        <f t="shared" si="4"/>
        <v>2.6413970394334463E-4</v>
      </c>
      <c r="R5" s="1">
        <f t="shared" si="5"/>
        <v>0.73851820977897731</v>
      </c>
      <c r="S5">
        <f t="shared" si="6"/>
        <v>6.791921199954698E-3</v>
      </c>
      <c r="U5" s="1">
        <f t="shared" si="7"/>
        <v>2.3823173376688309E-2</v>
      </c>
      <c r="V5">
        <f t="shared" si="0"/>
        <v>7.0560609038980296E-4</v>
      </c>
      <c r="W5" s="1">
        <f t="shared" si="0"/>
        <v>2.3250056454139595E-3</v>
      </c>
      <c r="X5">
        <f t="shared" si="0"/>
        <v>2.6413970394334463E-5</v>
      </c>
      <c r="Y5" s="1">
        <f t="shared" si="0"/>
        <v>7.3851820977897734E-2</v>
      </c>
      <c r="Z5">
        <f t="shared" si="0"/>
        <v>6.7919211999546984E-4</v>
      </c>
    </row>
    <row r="6" spans="1:26" x14ac:dyDescent="0.2">
      <c r="B6">
        <v>1.25</v>
      </c>
      <c r="C6">
        <v>0.16645857407474551</v>
      </c>
      <c r="D6">
        <v>3.7994403665294822E-2</v>
      </c>
      <c r="E6">
        <v>0.79554702225995966</v>
      </c>
      <c r="G6">
        <v>1.25</v>
      </c>
      <c r="H6">
        <v>0.18750445918753586</v>
      </c>
      <c r="I6">
        <v>3.9481226762606444E-2</v>
      </c>
      <c r="J6">
        <v>0.77301431404985765</v>
      </c>
      <c r="L6" s="7">
        <f t="shared" si="8"/>
        <v>1.25</v>
      </c>
      <c r="M6" s="5">
        <f t="shared" si="1"/>
        <v>0</v>
      </c>
      <c r="N6" s="1">
        <f t="shared" si="9"/>
        <v>0.1769815166311407</v>
      </c>
      <c r="O6">
        <f t="shared" si="2"/>
        <v>1.0522942556395173E-2</v>
      </c>
      <c r="P6" s="1">
        <f t="shared" si="3"/>
        <v>3.873781521395063E-2</v>
      </c>
      <c r="Q6">
        <f t="shared" si="4"/>
        <v>7.4341154865581113E-4</v>
      </c>
      <c r="R6" s="1">
        <f t="shared" si="5"/>
        <v>0.7842806681549086</v>
      </c>
      <c r="S6">
        <f t="shared" si="6"/>
        <v>1.1266354105051002E-2</v>
      </c>
      <c r="U6" s="1">
        <f t="shared" si="7"/>
        <v>1.7698151663114069E-2</v>
      </c>
      <c r="V6">
        <f t="shared" si="0"/>
        <v>1.0522942556395174E-3</v>
      </c>
      <c r="W6" s="1">
        <f t="shared" si="0"/>
        <v>3.8737815213950632E-3</v>
      </c>
      <c r="X6">
        <f t="shared" si="0"/>
        <v>7.4341154865581119E-5</v>
      </c>
      <c r="Y6" s="1">
        <f t="shared" si="0"/>
        <v>7.842806681549086E-2</v>
      </c>
      <c r="Z6">
        <f t="shared" si="0"/>
        <v>1.1266354105051001E-3</v>
      </c>
    </row>
    <row r="7" spans="1:26" x14ac:dyDescent="0.2">
      <c r="B7">
        <v>1.85</v>
      </c>
      <c r="C7">
        <v>0.16604076541923446</v>
      </c>
      <c r="D7">
        <v>4.8824322977464252E-2</v>
      </c>
      <c r="E7">
        <v>0.7851349116033014</v>
      </c>
      <c r="G7">
        <v>1.85</v>
      </c>
      <c r="H7">
        <v>0.1818465652953957</v>
      </c>
      <c r="I7">
        <v>4.2902359327765843E-2</v>
      </c>
      <c r="J7">
        <v>0.77525107537683846</v>
      </c>
      <c r="L7" s="7">
        <f t="shared" si="8"/>
        <v>1.85</v>
      </c>
      <c r="M7" s="5">
        <f t="shared" si="1"/>
        <v>0</v>
      </c>
      <c r="N7" s="1">
        <f t="shared" si="9"/>
        <v>0.17394366535731509</v>
      </c>
      <c r="O7">
        <f t="shared" si="2"/>
        <v>7.9028999380806181E-3</v>
      </c>
      <c r="P7" s="1">
        <f>AVERAGE(D7,I7)</f>
        <v>4.5863341152615048E-2</v>
      </c>
      <c r="Q7">
        <f t="shared" si="4"/>
        <v>2.9609818248492042E-3</v>
      </c>
      <c r="R7" s="1">
        <f t="shared" si="5"/>
        <v>0.78019299349006999</v>
      </c>
      <c r="S7">
        <f t="shared" si="6"/>
        <v>4.9419181132314693E-3</v>
      </c>
      <c r="U7" s="1">
        <f t="shared" si="7"/>
        <v>1.7394366535731509E-2</v>
      </c>
      <c r="V7">
        <f t="shared" si="0"/>
        <v>7.9028999380806189E-4</v>
      </c>
      <c r="W7" s="1">
        <f t="shared" si="0"/>
        <v>4.5863341152615053E-3</v>
      </c>
      <c r="X7">
        <f t="shared" si="0"/>
        <v>2.9609818248492047E-4</v>
      </c>
      <c r="Y7" s="1">
        <f t="shared" si="0"/>
        <v>7.8019299349007004E-2</v>
      </c>
      <c r="Z7">
        <f t="shared" si="0"/>
        <v>4.9419181132314696E-4</v>
      </c>
    </row>
    <row r="8" spans="1:26" x14ac:dyDescent="0.2">
      <c r="B8">
        <v>2.4666666666666668</v>
      </c>
      <c r="C8">
        <v>0.18119003722884888</v>
      </c>
      <c r="D8">
        <v>4.558294816251203E-2</v>
      </c>
      <c r="E8">
        <v>0.77322701460863907</v>
      </c>
      <c r="G8">
        <v>2.4666666666666668</v>
      </c>
      <c r="H8">
        <v>0.19328092573340183</v>
      </c>
      <c r="I8">
        <v>4.318058479137965E-2</v>
      </c>
      <c r="J8">
        <v>0.76353848947521852</v>
      </c>
      <c r="L8" s="7">
        <f t="shared" si="8"/>
        <v>2.4666666666666668</v>
      </c>
      <c r="M8" s="5">
        <f t="shared" si="1"/>
        <v>0</v>
      </c>
      <c r="N8" s="1">
        <f t="shared" si="9"/>
        <v>0.18723548148112534</v>
      </c>
      <c r="O8">
        <f t="shared" si="2"/>
        <v>6.0454442522764745E-3</v>
      </c>
      <c r="P8" s="1">
        <f t="shared" si="3"/>
        <v>4.438176647694584E-2</v>
      </c>
      <c r="Q8">
        <f t="shared" si="4"/>
        <v>1.2011816855661897E-3</v>
      </c>
      <c r="R8" s="1">
        <f t="shared" si="5"/>
        <v>0.76838275204192885</v>
      </c>
      <c r="S8">
        <f t="shared" si="6"/>
        <v>4.8442625667102779E-3</v>
      </c>
      <c r="U8" s="1">
        <f t="shared" si="7"/>
        <v>1.8723548148112536E-2</v>
      </c>
      <c r="V8">
        <f t="shared" si="0"/>
        <v>6.0454442522764752E-4</v>
      </c>
      <c r="W8" s="1">
        <f t="shared" si="0"/>
        <v>4.438176647694584E-3</v>
      </c>
      <c r="X8">
        <f t="shared" si="0"/>
        <v>1.2011816855661897E-4</v>
      </c>
      <c r="Y8" s="1">
        <f t="shared" si="0"/>
        <v>7.6838275204192896E-2</v>
      </c>
      <c r="Z8">
        <f t="shared" si="0"/>
        <v>4.8442625667102779E-4</v>
      </c>
    </row>
    <row r="9" spans="1:26" x14ac:dyDescent="0.2">
      <c r="B9">
        <v>3.0666666666666669</v>
      </c>
      <c r="C9">
        <v>0.19864328694022537</v>
      </c>
      <c r="D9">
        <v>4.4036626537122932E-2</v>
      </c>
      <c r="E9">
        <v>0.75732008652265181</v>
      </c>
      <c r="G9">
        <v>3.0666666666666669</v>
      </c>
      <c r="H9">
        <v>0.21531807321917742</v>
      </c>
      <c r="I9">
        <v>4.0407315744059688E-2</v>
      </c>
      <c r="J9">
        <v>0.74427461103676296</v>
      </c>
      <c r="L9" s="7">
        <f t="shared" si="8"/>
        <v>3.0666666666666669</v>
      </c>
      <c r="M9" s="5">
        <f t="shared" si="1"/>
        <v>0</v>
      </c>
      <c r="N9" s="1">
        <f t="shared" si="9"/>
        <v>0.20698068007970138</v>
      </c>
      <c r="O9">
        <f t="shared" si="2"/>
        <v>8.3373931394760264E-3</v>
      </c>
      <c r="P9" s="1">
        <f t="shared" si="3"/>
        <v>4.2221971140591313E-2</v>
      </c>
      <c r="Q9">
        <f t="shared" si="4"/>
        <v>1.8146553965316219E-3</v>
      </c>
      <c r="R9" s="1">
        <f t="shared" si="5"/>
        <v>0.75079734877970739</v>
      </c>
      <c r="S9">
        <f t="shared" si="6"/>
        <v>6.5227377429444289E-3</v>
      </c>
      <c r="U9" s="1">
        <f t="shared" si="7"/>
        <v>2.0698068007970138E-2</v>
      </c>
      <c r="V9">
        <f t="shared" si="0"/>
        <v>8.3373931394760273E-4</v>
      </c>
      <c r="W9" s="1">
        <f t="shared" si="0"/>
        <v>4.2221971140591315E-3</v>
      </c>
      <c r="X9">
        <f t="shared" si="0"/>
        <v>1.814655396531622E-4</v>
      </c>
      <c r="Y9" s="1">
        <f t="shared" si="0"/>
        <v>7.5079734877970747E-2</v>
      </c>
      <c r="Z9">
        <f t="shared" si="0"/>
        <v>6.5227377429444289E-4</v>
      </c>
    </row>
    <row r="10" spans="1:26" x14ac:dyDescent="0.2">
      <c r="B10">
        <v>3.6666666666666665</v>
      </c>
      <c r="C10">
        <v>0.22344368171036044</v>
      </c>
      <c r="D10">
        <v>4.1617666567735967E-2</v>
      </c>
      <c r="E10">
        <v>0.73493865172190354</v>
      </c>
      <c r="G10">
        <v>3.6666666666666665</v>
      </c>
      <c r="H10">
        <v>0.23401338170533462</v>
      </c>
      <c r="I10">
        <v>3.9855971740686058E-2</v>
      </c>
      <c r="J10">
        <v>0.72613064655397941</v>
      </c>
      <c r="L10" s="7">
        <f t="shared" si="8"/>
        <v>3.6666666666666665</v>
      </c>
      <c r="M10" s="5">
        <f t="shared" si="1"/>
        <v>0</v>
      </c>
      <c r="N10" s="1">
        <f t="shared" si="9"/>
        <v>0.22872853170784752</v>
      </c>
      <c r="O10">
        <f t="shared" si="2"/>
        <v>5.2848499974870872E-3</v>
      </c>
      <c r="P10" s="1">
        <f t="shared" si="3"/>
        <v>4.0736819154211013E-2</v>
      </c>
      <c r="Q10">
        <f t="shared" si="4"/>
        <v>8.8084741352495444E-4</v>
      </c>
      <c r="R10" s="1">
        <f t="shared" si="5"/>
        <v>0.73053464913794142</v>
      </c>
      <c r="S10">
        <f t="shared" si="6"/>
        <v>4.4040025839620633E-3</v>
      </c>
      <c r="U10" s="1">
        <f t="shared" si="7"/>
        <v>2.2872853170784753E-2</v>
      </c>
      <c r="V10">
        <f t="shared" si="0"/>
        <v>5.284849997487087E-4</v>
      </c>
      <c r="W10" s="1">
        <f t="shared" si="0"/>
        <v>4.0736819154211018E-3</v>
      </c>
      <c r="X10">
        <f t="shared" si="0"/>
        <v>8.8084741352495444E-5</v>
      </c>
      <c r="Y10" s="1">
        <f t="shared" si="0"/>
        <v>7.305346491379415E-2</v>
      </c>
      <c r="Z10">
        <f t="shared" si="0"/>
        <v>4.4040025839620637E-4</v>
      </c>
    </row>
    <row r="11" spans="1:26" x14ac:dyDescent="0.2">
      <c r="B11">
        <v>4.2666666666666666</v>
      </c>
      <c r="C11">
        <v>0.25565154023166342</v>
      </c>
      <c r="D11">
        <v>3.8299617062993771E-2</v>
      </c>
      <c r="E11">
        <v>0.70604884270534285</v>
      </c>
      <c r="G11">
        <v>4.2666666666666666</v>
      </c>
      <c r="H11">
        <v>0.26383477768840252</v>
      </c>
      <c r="I11">
        <v>3.6112040753883551E-2</v>
      </c>
      <c r="J11">
        <v>0.70005318155771401</v>
      </c>
      <c r="L11" s="7">
        <f t="shared" si="8"/>
        <v>4.2666666666666666</v>
      </c>
      <c r="M11" s="5">
        <f t="shared" si="1"/>
        <v>0</v>
      </c>
      <c r="N11" s="1">
        <f t="shared" si="9"/>
        <v>0.25974315896003297</v>
      </c>
      <c r="O11">
        <f t="shared" si="2"/>
        <v>4.0916187283695504E-3</v>
      </c>
      <c r="P11" s="1">
        <f t="shared" si="3"/>
        <v>3.7205828908438661E-2</v>
      </c>
      <c r="Q11">
        <f t="shared" si="4"/>
        <v>1.0937881545551101E-3</v>
      </c>
      <c r="R11" s="1">
        <f t="shared" si="5"/>
        <v>0.70305101213152843</v>
      </c>
      <c r="S11">
        <f t="shared" si="6"/>
        <v>2.9978305738144195E-3</v>
      </c>
      <c r="U11" s="1">
        <f t="shared" si="7"/>
        <v>2.5974315896003297E-2</v>
      </c>
      <c r="V11">
        <f t="shared" si="0"/>
        <v>4.0916187283695506E-4</v>
      </c>
      <c r="W11" s="1">
        <f t="shared" si="0"/>
        <v>3.7205828908438662E-3</v>
      </c>
      <c r="X11">
        <f t="shared" si="0"/>
        <v>1.0937881545551101E-4</v>
      </c>
      <c r="Y11" s="1">
        <f t="shared" si="0"/>
        <v>7.0305101213152851E-2</v>
      </c>
      <c r="Z11">
        <f t="shared" si="0"/>
        <v>2.9978305738144196E-4</v>
      </c>
    </row>
    <row r="12" spans="1:26" x14ac:dyDescent="0.2">
      <c r="B12">
        <v>4.8666666666666663</v>
      </c>
      <c r="C12">
        <v>0.28126329945818024</v>
      </c>
      <c r="D12">
        <v>3.6858924545306246E-2</v>
      </c>
      <c r="E12">
        <v>0.68187777599651345</v>
      </c>
      <c r="G12">
        <v>4.8666666666666663</v>
      </c>
      <c r="H12">
        <v>0.29110361715263927</v>
      </c>
      <c r="I12">
        <v>3.3670182168021791E-2</v>
      </c>
      <c r="J12">
        <v>0.67522620067933892</v>
      </c>
      <c r="L12" s="7">
        <f t="shared" si="8"/>
        <v>4.8666666666666663</v>
      </c>
      <c r="M12" s="5">
        <f t="shared" si="1"/>
        <v>0</v>
      </c>
      <c r="N12" s="1">
        <f t="shared" si="9"/>
        <v>0.28618345830540975</v>
      </c>
      <c r="O12">
        <f t="shared" si="2"/>
        <v>4.9201588472295166E-3</v>
      </c>
      <c r="P12" s="1">
        <f t="shared" si="3"/>
        <v>3.5264553356664022E-2</v>
      </c>
      <c r="Q12">
        <f t="shared" si="4"/>
        <v>1.5943711886422275E-3</v>
      </c>
      <c r="R12" s="1">
        <f t="shared" si="5"/>
        <v>0.67855198833792618</v>
      </c>
      <c r="S12">
        <f t="shared" si="6"/>
        <v>3.3257876585872648E-3</v>
      </c>
      <c r="U12" s="1">
        <f t="shared" si="7"/>
        <v>2.8618345830540976E-2</v>
      </c>
      <c r="V12">
        <f t="shared" si="0"/>
        <v>4.9201588472295164E-4</v>
      </c>
      <c r="W12" s="1">
        <f t="shared" si="0"/>
        <v>3.5264553356664022E-3</v>
      </c>
      <c r="X12">
        <f t="shared" si="0"/>
        <v>1.5943711886422276E-4</v>
      </c>
      <c r="Y12" s="1">
        <f t="shared" si="0"/>
        <v>6.7855198833792624E-2</v>
      </c>
      <c r="Z12">
        <f t="shared" si="0"/>
        <v>3.3257876585872652E-4</v>
      </c>
    </row>
    <row r="13" spans="1:26" x14ac:dyDescent="0.2">
      <c r="B13">
        <v>5.4666666666666668</v>
      </c>
      <c r="C13">
        <v>0.30980320029752295</v>
      </c>
      <c r="D13">
        <v>3.2674198283322978E-2</v>
      </c>
      <c r="E13">
        <v>0.65752260141915408</v>
      </c>
      <c r="G13">
        <v>5.4833333333333334</v>
      </c>
      <c r="H13">
        <v>0.3144626514424369</v>
      </c>
      <c r="I13">
        <v>3.1199298664338425E-2</v>
      </c>
      <c r="J13">
        <v>0.65433804989322464</v>
      </c>
      <c r="L13" s="7">
        <f t="shared" si="8"/>
        <v>5.4749999999999996</v>
      </c>
      <c r="M13" s="5">
        <f t="shared" si="1"/>
        <v>8.3333333333333037E-3</v>
      </c>
      <c r="N13" s="1">
        <f t="shared" si="9"/>
        <v>0.31213292586997993</v>
      </c>
      <c r="O13">
        <f t="shared" si="2"/>
        <v>2.3297255724569754E-3</v>
      </c>
      <c r="P13" s="1">
        <f t="shared" si="3"/>
        <v>3.1936748473830698E-2</v>
      </c>
      <c r="Q13">
        <f t="shared" si="4"/>
        <v>7.3744980949227643E-4</v>
      </c>
      <c r="R13" s="1">
        <f t="shared" si="5"/>
        <v>0.65593032565618936</v>
      </c>
      <c r="S13">
        <f t="shared" si="6"/>
        <v>1.5922757629647233E-3</v>
      </c>
      <c r="U13" s="1">
        <f t="shared" si="7"/>
        <v>3.1213292586997995E-2</v>
      </c>
      <c r="V13">
        <f t="shared" si="0"/>
        <v>2.3297255724569755E-4</v>
      </c>
      <c r="W13" s="1">
        <f t="shared" si="0"/>
        <v>3.19367484738307E-3</v>
      </c>
      <c r="X13">
        <f t="shared" si="0"/>
        <v>7.3744980949227653E-5</v>
      </c>
      <c r="Y13" s="1">
        <f t="shared" si="0"/>
        <v>6.5593032565618936E-2</v>
      </c>
      <c r="Z13">
        <f t="shared" si="0"/>
        <v>1.5922757629647233E-4</v>
      </c>
    </row>
    <row r="14" spans="1:26" x14ac:dyDescent="0.2">
      <c r="B14">
        <v>6.083333333333333</v>
      </c>
      <c r="C14">
        <v>0.33956302247780623</v>
      </c>
      <c r="D14">
        <v>3.1745231591322316E-2</v>
      </c>
      <c r="E14">
        <v>0.62869174593087152</v>
      </c>
      <c r="G14">
        <v>6.083333333333333</v>
      </c>
      <c r="H14">
        <v>0.34962383159566401</v>
      </c>
      <c r="I14">
        <v>3.0675277898816064E-2</v>
      </c>
      <c r="J14">
        <v>0.61970089050551991</v>
      </c>
      <c r="L14" s="7">
        <f t="shared" si="8"/>
        <v>6.083333333333333</v>
      </c>
      <c r="M14" s="5">
        <f t="shared" si="1"/>
        <v>0</v>
      </c>
      <c r="N14" s="1">
        <f t="shared" si="9"/>
        <v>0.34459342703673512</v>
      </c>
      <c r="O14">
        <f t="shared" si="2"/>
        <v>5.0304045589288915E-3</v>
      </c>
      <c r="P14" s="1">
        <f t="shared" si="3"/>
        <v>3.121025474506919E-2</v>
      </c>
      <c r="Q14">
        <f t="shared" si="4"/>
        <v>5.3497684625312611E-4</v>
      </c>
      <c r="R14" s="1">
        <f t="shared" si="5"/>
        <v>0.62419631821819577</v>
      </c>
      <c r="S14">
        <f t="shared" si="6"/>
        <v>4.4954277126758035E-3</v>
      </c>
      <c r="U14" s="1">
        <f t="shared" si="7"/>
        <v>3.4459342703673512E-2</v>
      </c>
      <c r="V14">
        <f t="shared" si="0"/>
        <v>5.0304045589288915E-4</v>
      </c>
      <c r="W14" s="1">
        <f t="shared" si="0"/>
        <v>3.1210254745069194E-3</v>
      </c>
      <c r="X14">
        <f t="shared" si="0"/>
        <v>5.3497684625312611E-5</v>
      </c>
      <c r="Y14" s="1">
        <f t="shared" si="0"/>
        <v>6.2419631821819581E-2</v>
      </c>
      <c r="Z14">
        <f t="shared" si="0"/>
        <v>4.4954277126758039E-4</v>
      </c>
    </row>
    <row r="15" spans="1:26" x14ac:dyDescent="0.2">
      <c r="B15">
        <v>6.6833333333333336</v>
      </c>
      <c r="C15">
        <v>0.36774128559377034</v>
      </c>
      <c r="D15">
        <v>3.1963331383821764E-2</v>
      </c>
      <c r="E15">
        <v>0.60029538302240792</v>
      </c>
      <c r="G15">
        <v>6.6833333333333336</v>
      </c>
      <c r="H15">
        <v>0.38221093502436809</v>
      </c>
      <c r="I15">
        <v>2.6021694918019627E-2</v>
      </c>
      <c r="J15">
        <v>0.59176737005761226</v>
      </c>
      <c r="L15" s="7">
        <f t="shared" si="8"/>
        <v>6.6833333333333336</v>
      </c>
      <c r="M15" s="5">
        <f t="shared" si="1"/>
        <v>0</v>
      </c>
      <c r="N15" s="1">
        <f t="shared" si="9"/>
        <v>0.37497611030906919</v>
      </c>
      <c r="O15">
        <f t="shared" si="2"/>
        <v>7.2348247152988765E-3</v>
      </c>
      <c r="P15" s="1">
        <f t="shared" si="3"/>
        <v>2.8992513150920697E-2</v>
      </c>
      <c r="Q15">
        <f t="shared" si="4"/>
        <v>2.9708182329010683E-3</v>
      </c>
      <c r="R15" s="1">
        <f t="shared" si="5"/>
        <v>0.59603137654001004</v>
      </c>
      <c r="S15">
        <f t="shared" si="6"/>
        <v>4.2640064823978308E-3</v>
      </c>
      <c r="U15" s="1">
        <f t="shared" si="7"/>
        <v>3.7497611030906923E-2</v>
      </c>
      <c r="V15">
        <f>0.1*O15</f>
        <v>7.2348247152988774E-4</v>
      </c>
      <c r="W15" s="1">
        <f t="shared" si="0"/>
        <v>2.8992513150920699E-3</v>
      </c>
      <c r="X15">
        <f t="shared" si="0"/>
        <v>2.9708182329010686E-4</v>
      </c>
      <c r="Y15" s="1">
        <f t="shared" si="0"/>
        <v>5.9603137654001007E-2</v>
      </c>
      <c r="Z15">
        <f t="shared" si="0"/>
        <v>4.264006482397831E-4</v>
      </c>
    </row>
    <row r="16" spans="1:26" x14ac:dyDescent="0.2">
      <c r="B16">
        <v>7.2833333333333332</v>
      </c>
      <c r="C16">
        <v>0.39921404245076769</v>
      </c>
      <c r="D16">
        <v>2.7910995596561329E-2</v>
      </c>
      <c r="E16">
        <v>0.57287496195267096</v>
      </c>
      <c r="G16">
        <v>7.2833333333333332</v>
      </c>
      <c r="H16">
        <v>0.40144403729206657</v>
      </c>
      <c r="I16">
        <v>2.4222701182127226E-2</v>
      </c>
      <c r="J16">
        <v>0.5743332615258061</v>
      </c>
      <c r="L16" s="7">
        <f t="shared" si="8"/>
        <v>7.2833333333333332</v>
      </c>
      <c r="M16" s="5">
        <f t="shared" si="1"/>
        <v>0</v>
      </c>
      <c r="N16" s="1">
        <f t="shared" si="9"/>
        <v>0.4003290398714171</v>
      </c>
      <c r="O16">
        <f t="shared" si="2"/>
        <v>1.1149974206494384E-3</v>
      </c>
      <c r="P16" s="1">
        <f t="shared" si="3"/>
        <v>2.6066848389344276E-2</v>
      </c>
      <c r="Q16">
        <f t="shared" si="4"/>
        <v>1.8441472072170517E-3</v>
      </c>
      <c r="R16" s="1">
        <f t="shared" si="5"/>
        <v>0.57360411173923853</v>
      </c>
      <c r="S16">
        <f t="shared" si="6"/>
        <v>7.2914978656757334E-4</v>
      </c>
      <c r="U16" s="1">
        <f t="shared" si="7"/>
        <v>4.003290398714171E-2</v>
      </c>
      <c r="V16">
        <f t="shared" si="0"/>
        <v>1.1149974206494385E-4</v>
      </c>
      <c r="W16" s="1">
        <f t="shared" si="0"/>
        <v>2.6066848389344277E-3</v>
      </c>
      <c r="X16">
        <f t="shared" si="0"/>
        <v>1.8441472072170518E-4</v>
      </c>
      <c r="Y16" s="1">
        <f t="shared" si="0"/>
        <v>5.7360411173923855E-2</v>
      </c>
      <c r="Z16">
        <f t="shared" si="0"/>
        <v>7.2914978656757332E-5</v>
      </c>
    </row>
    <row r="17" spans="2:26" x14ac:dyDescent="0.2">
      <c r="B17">
        <v>7.8833333333333337</v>
      </c>
      <c r="C17">
        <v>0.42240573968132467</v>
      </c>
      <c r="D17">
        <v>2.581761946488784E-2</v>
      </c>
      <c r="E17">
        <v>0.55177664085378753</v>
      </c>
      <c r="G17">
        <v>7.8833333333333337</v>
      </c>
      <c r="H17">
        <v>0.43633244603670956</v>
      </c>
      <c r="I17">
        <v>2.1170395632079179E-2</v>
      </c>
      <c r="J17">
        <v>0.54249715833121126</v>
      </c>
      <c r="L17" s="7">
        <f t="shared" si="8"/>
        <v>7.8833333333333337</v>
      </c>
      <c r="M17" s="5">
        <f>_xlfn.STDEV.P(B17,G17)</f>
        <v>0</v>
      </c>
      <c r="N17" s="1">
        <f t="shared" si="9"/>
        <v>0.42936909285901714</v>
      </c>
      <c r="O17">
        <f t="shared" si="2"/>
        <v>6.9633531776924495E-3</v>
      </c>
      <c r="P17" s="1">
        <f t="shared" si="3"/>
        <v>2.3494007548483509E-2</v>
      </c>
      <c r="Q17">
        <f t="shared" si="4"/>
        <v>2.3236119164043306E-3</v>
      </c>
      <c r="R17" s="1">
        <f t="shared" si="5"/>
        <v>0.54713689959249945</v>
      </c>
      <c r="S17">
        <f t="shared" si="6"/>
        <v>4.6397412612881328E-3</v>
      </c>
      <c r="U17" s="1">
        <f t="shared" si="7"/>
        <v>4.2936909285901714E-2</v>
      </c>
      <c r="V17">
        <f t="shared" si="0"/>
        <v>6.9633531776924502E-4</v>
      </c>
      <c r="W17" s="1">
        <f t="shared" si="0"/>
        <v>2.3494007548483511E-3</v>
      </c>
      <c r="X17">
        <f t="shared" si="0"/>
        <v>2.3236119164043306E-4</v>
      </c>
      <c r="Y17" s="1">
        <f t="shared" si="0"/>
        <v>5.4713689959249946E-2</v>
      </c>
      <c r="Z17">
        <f t="shared" si="0"/>
        <v>4.6397412612881331E-4</v>
      </c>
    </row>
    <row r="18" spans="2:26" x14ac:dyDescent="0.2">
      <c r="B18">
        <v>8.4833333333333325</v>
      </c>
      <c r="C18">
        <v>0.45988972829936664</v>
      </c>
      <c r="D18">
        <v>2.4630582937120046E-2</v>
      </c>
      <c r="E18">
        <v>0.51547968876351336</v>
      </c>
      <c r="G18">
        <v>8.5</v>
      </c>
      <c r="H18">
        <v>0.47029228685546126</v>
      </c>
      <c r="I18">
        <v>1.9328121979628021E-2</v>
      </c>
      <c r="J18">
        <v>0.51037959116491061</v>
      </c>
      <c r="L18" s="7">
        <f t="shared" si="8"/>
        <v>8.4916666666666671</v>
      </c>
      <c r="M18" s="5">
        <f t="shared" si="1"/>
        <v>8.3333333333337478E-3</v>
      </c>
      <c r="N18" s="1">
        <f t="shared" si="9"/>
        <v>0.46509100757741395</v>
      </c>
      <c r="O18">
        <f t="shared" si="2"/>
        <v>5.2012792780473105E-3</v>
      </c>
      <c r="P18" s="1">
        <f t="shared" si="3"/>
        <v>2.1979352458374034E-2</v>
      </c>
      <c r="Q18">
        <f t="shared" si="4"/>
        <v>2.6512304787460125E-3</v>
      </c>
      <c r="R18" s="1">
        <f t="shared" si="5"/>
        <v>0.51292963996421204</v>
      </c>
      <c r="S18">
        <f t="shared" si="6"/>
        <v>2.5500487993013743E-3</v>
      </c>
      <c r="U18" s="1">
        <f t="shared" si="7"/>
        <v>4.6509100757741395E-2</v>
      </c>
      <c r="V18">
        <f t="shared" si="0"/>
        <v>5.2012792780473105E-4</v>
      </c>
      <c r="W18" s="1">
        <f t="shared" si="0"/>
        <v>2.1979352458374036E-3</v>
      </c>
      <c r="X18">
        <f t="shared" si="0"/>
        <v>2.6512304787460129E-4</v>
      </c>
      <c r="Y18" s="1">
        <f t="shared" si="0"/>
        <v>5.1292963996421206E-2</v>
      </c>
      <c r="Z18">
        <f t="shared" si="0"/>
        <v>2.5500487993013746E-4</v>
      </c>
    </row>
    <row r="19" spans="2:26" x14ac:dyDescent="0.2">
      <c r="B19">
        <v>9.1</v>
      </c>
      <c r="C19">
        <v>0.48193491234227231</v>
      </c>
      <c r="D19">
        <v>2.2049271443193678E-2</v>
      </c>
      <c r="E19">
        <v>0.49601581621453394</v>
      </c>
      <c r="G19">
        <v>9.1</v>
      </c>
      <c r="H19">
        <v>0.49227698458888136</v>
      </c>
      <c r="I19">
        <v>1.7522539613054309E-2</v>
      </c>
      <c r="J19">
        <v>0.49020047579806425</v>
      </c>
      <c r="L19" s="7">
        <f t="shared" si="8"/>
        <v>9.1</v>
      </c>
      <c r="M19" s="5">
        <f t="shared" si="1"/>
        <v>0</v>
      </c>
      <c r="N19" s="1">
        <f t="shared" si="9"/>
        <v>0.48710594846557687</v>
      </c>
      <c r="O19">
        <f t="shared" si="2"/>
        <v>5.1710361233045232E-3</v>
      </c>
      <c r="P19" s="1">
        <f t="shared" si="3"/>
        <v>1.9785905528123995E-2</v>
      </c>
      <c r="Q19">
        <f t="shared" si="4"/>
        <v>2.2633659150696848E-3</v>
      </c>
      <c r="R19" s="1">
        <f t="shared" si="5"/>
        <v>0.4931081460062991</v>
      </c>
      <c r="S19">
        <f t="shared" si="6"/>
        <v>2.9076702082348471E-3</v>
      </c>
      <c r="U19" s="1">
        <f t="shared" si="7"/>
        <v>4.8710594846557688E-2</v>
      </c>
      <c r="V19">
        <f t="shared" si="7"/>
        <v>5.1710361233045239E-4</v>
      </c>
      <c r="W19" s="1">
        <f t="shared" si="7"/>
        <v>1.9785905528123997E-3</v>
      </c>
      <c r="X19">
        <f t="shared" si="7"/>
        <v>2.2633659150696848E-4</v>
      </c>
      <c r="Y19" s="1">
        <f t="shared" si="7"/>
        <v>4.9310814600629915E-2</v>
      </c>
      <c r="Z19">
        <f t="shared" si="7"/>
        <v>2.9076702082348474E-4</v>
      </c>
    </row>
    <row r="20" spans="2:26" x14ac:dyDescent="0.2">
      <c r="B20">
        <v>9.6999999999999993</v>
      </c>
      <c r="C20">
        <v>0.51303886430100742</v>
      </c>
      <c r="D20">
        <v>1.9713856585752688E-2</v>
      </c>
      <c r="E20">
        <v>0.46724727911323982</v>
      </c>
      <c r="G20">
        <v>9.6999999999999993</v>
      </c>
      <c r="H20">
        <v>0.51470548327707322</v>
      </c>
      <c r="I20">
        <v>1.6161108346852339E-2</v>
      </c>
      <c r="J20">
        <v>0.46913340837607431</v>
      </c>
      <c r="L20" s="7">
        <f t="shared" si="8"/>
        <v>9.6999999999999993</v>
      </c>
      <c r="M20" s="5">
        <f t="shared" si="1"/>
        <v>0</v>
      </c>
      <c r="N20" s="1">
        <f t="shared" si="9"/>
        <v>0.51387217378904038</v>
      </c>
      <c r="O20">
        <f t="shared" si="2"/>
        <v>8.3330948803289617E-4</v>
      </c>
      <c r="P20" s="1">
        <f t="shared" si="3"/>
        <v>1.7937482466302515E-2</v>
      </c>
      <c r="Q20">
        <f t="shared" si="4"/>
        <v>1.7763741194501744E-3</v>
      </c>
      <c r="R20" s="1">
        <f t="shared" si="5"/>
        <v>0.46819034374465707</v>
      </c>
      <c r="S20">
        <f t="shared" si="6"/>
        <v>9.4306463141724528E-4</v>
      </c>
      <c r="U20" s="1">
        <f t="shared" si="7"/>
        <v>5.1387217378904039E-2</v>
      </c>
      <c r="V20">
        <f t="shared" si="7"/>
        <v>8.3330948803289628E-5</v>
      </c>
      <c r="W20" s="1">
        <f t="shared" si="7"/>
        <v>1.7937482466302516E-3</v>
      </c>
      <c r="X20">
        <f t="shared" si="7"/>
        <v>1.7763741194501745E-4</v>
      </c>
      <c r="Y20" s="1">
        <f t="shared" si="7"/>
        <v>4.6819034374465711E-2</v>
      </c>
      <c r="Z20">
        <f t="shared" si="7"/>
        <v>9.4306463141724531E-5</v>
      </c>
    </row>
    <row r="21" spans="2:26" x14ac:dyDescent="0.2">
      <c r="B21">
        <v>10.3</v>
      </c>
      <c r="C21">
        <v>0.53017838347881963</v>
      </c>
      <c r="D21">
        <v>1.904173935099222E-2</v>
      </c>
      <c r="E21">
        <v>0.45077987717018808</v>
      </c>
      <c r="G21">
        <v>10.3</v>
      </c>
      <c r="H21">
        <v>0.54743174532594852</v>
      </c>
      <c r="I21">
        <v>1.5211892138559053E-2</v>
      </c>
      <c r="J21">
        <v>0.43735636253549232</v>
      </c>
      <c r="L21" s="7">
        <f t="shared" si="8"/>
        <v>10.3</v>
      </c>
      <c r="M21" s="5">
        <f t="shared" si="1"/>
        <v>0</v>
      </c>
      <c r="N21" s="1">
        <f t="shared" si="9"/>
        <v>0.53880506440238407</v>
      </c>
      <c r="O21">
        <f t="shared" si="2"/>
        <v>8.6266809235644448E-3</v>
      </c>
      <c r="P21" s="1">
        <f t="shared" si="3"/>
        <v>1.7126815744775637E-2</v>
      </c>
      <c r="Q21">
        <f t="shared" si="4"/>
        <v>1.9149236062165837E-3</v>
      </c>
      <c r="R21" s="1">
        <f t="shared" si="5"/>
        <v>0.44406811985284023</v>
      </c>
      <c r="S21">
        <f t="shared" si="6"/>
        <v>6.7117573173478828E-3</v>
      </c>
      <c r="U21" s="1">
        <f t="shared" si="7"/>
        <v>5.388050644023841E-2</v>
      </c>
      <c r="V21">
        <f t="shared" si="7"/>
        <v>8.6266809235644457E-4</v>
      </c>
      <c r="W21" s="1">
        <f t="shared" si="7"/>
        <v>1.7126815744775638E-3</v>
      </c>
      <c r="X21">
        <f t="shared" si="7"/>
        <v>1.9149236062165838E-4</v>
      </c>
      <c r="Y21" s="1">
        <f t="shared" si="7"/>
        <v>4.4406811985284025E-2</v>
      </c>
      <c r="Z21">
        <f t="shared" si="7"/>
        <v>6.7117573173478831E-4</v>
      </c>
    </row>
    <row r="22" spans="2:26" x14ac:dyDescent="0.2">
      <c r="B22">
        <v>10.9</v>
      </c>
      <c r="C22">
        <v>0.56001395312568969</v>
      </c>
      <c r="D22">
        <v>1.697587167867981E-2</v>
      </c>
      <c r="E22">
        <v>0.42301017519563044</v>
      </c>
      <c r="G22">
        <v>10.9</v>
      </c>
      <c r="H22">
        <v>0.562849770937347</v>
      </c>
      <c r="I22">
        <v>1.4036211341207644E-2</v>
      </c>
      <c r="J22">
        <v>0.42311401772144536</v>
      </c>
      <c r="L22" s="7">
        <f t="shared" si="8"/>
        <v>10.9</v>
      </c>
      <c r="M22" s="5">
        <f t="shared" si="1"/>
        <v>0</v>
      </c>
      <c r="N22" s="1">
        <f t="shared" si="9"/>
        <v>0.5614318620315184</v>
      </c>
      <c r="O22">
        <f t="shared" si="2"/>
        <v>1.4179089058286576E-3</v>
      </c>
      <c r="P22" s="1">
        <f t="shared" si="3"/>
        <v>1.5506041509943728E-2</v>
      </c>
      <c r="Q22">
        <f t="shared" si="4"/>
        <v>1.4698301687360834E-3</v>
      </c>
      <c r="R22" s="1">
        <f t="shared" si="5"/>
        <v>0.42306209645853787</v>
      </c>
      <c r="S22">
        <f t="shared" si="6"/>
        <v>5.1921262907456134E-5</v>
      </c>
      <c r="U22" s="1">
        <f t="shared" si="7"/>
        <v>5.614318620315184E-2</v>
      </c>
      <c r="V22">
        <f t="shared" si="7"/>
        <v>1.4179089058286576E-4</v>
      </c>
      <c r="W22" s="1">
        <f t="shared" si="7"/>
        <v>1.550604150994373E-3</v>
      </c>
      <c r="X22">
        <f t="shared" si="7"/>
        <v>1.4698301687360836E-4</v>
      </c>
      <c r="Y22" s="1">
        <f t="shared" si="7"/>
        <v>4.2306209645853791E-2</v>
      </c>
      <c r="Z22">
        <f t="shared" si="7"/>
        <v>5.1921262907456136E-6</v>
      </c>
    </row>
    <row r="23" spans="2:26" x14ac:dyDescent="0.2">
      <c r="B23">
        <v>11.5</v>
      </c>
      <c r="C23">
        <v>0.58074592814285175</v>
      </c>
      <c r="D23">
        <v>1.4796858024965033E-2</v>
      </c>
      <c r="E23">
        <v>0.40445721383218319</v>
      </c>
      <c r="G23">
        <v>11.516666666666667</v>
      </c>
      <c r="H23">
        <v>0.59299654127657453</v>
      </c>
      <c r="I23">
        <v>1.1397988377782425E-2</v>
      </c>
      <c r="J23">
        <v>0.39560547034564292</v>
      </c>
      <c r="L23" s="7">
        <f t="shared" si="8"/>
        <v>11.508333333333333</v>
      </c>
      <c r="M23" s="5">
        <f t="shared" si="1"/>
        <v>8.3333333333337478E-3</v>
      </c>
      <c r="N23" s="1">
        <f t="shared" si="9"/>
        <v>0.58687123470971314</v>
      </c>
      <c r="O23">
        <f t="shared" si="2"/>
        <v>6.1253065668613882E-3</v>
      </c>
      <c r="P23" s="1">
        <f t="shared" si="3"/>
        <v>1.3097423201373729E-2</v>
      </c>
      <c r="Q23">
        <f t="shared" si="4"/>
        <v>1.6994348235913042E-3</v>
      </c>
      <c r="R23" s="1">
        <f t="shared" si="5"/>
        <v>0.40003134208891306</v>
      </c>
      <c r="S23">
        <f t="shared" si="6"/>
        <v>4.4258717432701378E-3</v>
      </c>
      <c r="U23" s="1">
        <f t="shared" si="7"/>
        <v>5.8687123470971318E-2</v>
      </c>
      <c r="V23">
        <f t="shared" si="7"/>
        <v>6.1253065668613886E-4</v>
      </c>
      <c r="W23" s="1">
        <f t="shared" si="7"/>
        <v>1.309742320137373E-3</v>
      </c>
      <c r="X23">
        <f t="shared" si="7"/>
        <v>1.6994348235913043E-4</v>
      </c>
      <c r="Y23" s="1">
        <f t="shared" si="7"/>
        <v>4.000313420889131E-2</v>
      </c>
      <c r="Z23">
        <f t="shared" si="7"/>
        <v>4.425871743270138E-4</v>
      </c>
    </row>
    <row r="24" spans="2:26" x14ac:dyDescent="0.2">
      <c r="B24">
        <v>12.116666666666667</v>
      </c>
      <c r="C24">
        <v>0.60636813719047067</v>
      </c>
      <c r="D24">
        <v>1.3100692409217855E-2</v>
      </c>
      <c r="E24">
        <v>0.38053117040031159</v>
      </c>
      <c r="G24">
        <v>12.116666666666667</v>
      </c>
      <c r="H24">
        <v>0.61052987424921257</v>
      </c>
      <c r="I24">
        <v>1.1045864529008959E-2</v>
      </c>
      <c r="J24">
        <v>0.37842426122177852</v>
      </c>
      <c r="L24" s="7">
        <f t="shared" si="8"/>
        <v>12.116666666666667</v>
      </c>
      <c r="M24" s="5">
        <f t="shared" si="1"/>
        <v>0</v>
      </c>
      <c r="N24" s="1">
        <f t="shared" si="9"/>
        <v>0.60844900571984162</v>
      </c>
      <c r="O24">
        <f t="shared" si="2"/>
        <v>2.0808685293709495E-3</v>
      </c>
      <c r="P24" s="1">
        <f t="shared" si="3"/>
        <v>1.2073278469113408E-2</v>
      </c>
      <c r="Q24">
        <f t="shared" si="4"/>
        <v>1.0274139401044479E-3</v>
      </c>
      <c r="R24" s="1">
        <f t="shared" si="5"/>
        <v>0.37947771581104506</v>
      </c>
      <c r="S24">
        <f t="shared" si="6"/>
        <v>1.0534545892665337E-3</v>
      </c>
      <c r="U24" s="1">
        <f t="shared" si="7"/>
        <v>6.0844900571984162E-2</v>
      </c>
      <c r="V24">
        <f t="shared" si="7"/>
        <v>2.0808685293709496E-4</v>
      </c>
      <c r="W24" s="1">
        <f t="shared" si="7"/>
        <v>1.2073278469113408E-3</v>
      </c>
      <c r="X24">
        <f t="shared" si="7"/>
        <v>1.0274139401044479E-4</v>
      </c>
      <c r="Y24" s="1">
        <f t="shared" si="7"/>
        <v>3.794777158110451E-2</v>
      </c>
      <c r="Z24">
        <f t="shared" si="7"/>
        <v>1.0534545892665337E-4</v>
      </c>
    </row>
    <row r="25" spans="2:26" x14ac:dyDescent="0.2">
      <c r="B25">
        <v>16.016666666666666</v>
      </c>
      <c r="C25">
        <v>0.70150082974925532</v>
      </c>
      <c r="D25">
        <v>7.8092268655196116E-3</v>
      </c>
      <c r="E25">
        <v>0.29068994338522491</v>
      </c>
      <c r="G25">
        <v>16.016666666666666</v>
      </c>
      <c r="H25">
        <v>0.71219554617233571</v>
      </c>
      <c r="I25">
        <v>5.8175788611364368E-3</v>
      </c>
      <c r="J25">
        <v>0.2819868749665278</v>
      </c>
      <c r="L25" s="7">
        <f t="shared" si="8"/>
        <v>16.016666666666666</v>
      </c>
      <c r="M25" s="5">
        <f t="shared" si="1"/>
        <v>0</v>
      </c>
      <c r="N25" s="1">
        <f t="shared" si="9"/>
        <v>0.70684818796079552</v>
      </c>
      <c r="O25">
        <f t="shared" si="2"/>
        <v>5.3473582115401985E-3</v>
      </c>
      <c r="P25" s="1">
        <f t="shared" si="3"/>
        <v>6.8134028633280242E-3</v>
      </c>
      <c r="Q25">
        <f t="shared" si="4"/>
        <v>9.9582400219158738E-4</v>
      </c>
      <c r="R25" s="1">
        <f t="shared" si="5"/>
        <v>0.28633840917587638</v>
      </c>
      <c r="S25">
        <f t="shared" si="6"/>
        <v>4.3515342093485565E-3</v>
      </c>
      <c r="U25" s="1">
        <f t="shared" si="7"/>
        <v>7.068481879607956E-2</v>
      </c>
      <c r="V25">
        <f t="shared" si="7"/>
        <v>5.3473582115401983E-4</v>
      </c>
      <c r="W25" s="1">
        <f t="shared" si="7"/>
        <v>6.8134028633280242E-4</v>
      </c>
      <c r="X25">
        <f t="shared" si="7"/>
        <v>9.958240021915874E-5</v>
      </c>
      <c r="Y25" s="1">
        <f t="shared" si="7"/>
        <v>2.8633840917587638E-2</v>
      </c>
      <c r="Z25">
        <f t="shared" si="7"/>
        <v>4.3515342093485568E-4</v>
      </c>
    </row>
    <row r="26" spans="2:26" x14ac:dyDescent="0.2">
      <c r="B26">
        <v>22.05</v>
      </c>
      <c r="C26">
        <v>0.83121356111834921</v>
      </c>
      <c r="D26">
        <v>2.8586997375193743E-3</v>
      </c>
      <c r="E26">
        <v>0.16592773914413142</v>
      </c>
      <c r="G26">
        <v>22.066666666666666</v>
      </c>
      <c r="H26">
        <v>0.83689927081189952</v>
      </c>
      <c r="I26">
        <v>1.742007009765427E-3</v>
      </c>
      <c r="J26">
        <v>0.16135872217833494</v>
      </c>
      <c r="L26" s="7">
        <f t="shared" si="8"/>
        <v>22.058333333333334</v>
      </c>
      <c r="M26" s="5">
        <f t="shared" si="1"/>
        <v>8.3333333333328596E-3</v>
      </c>
      <c r="N26" s="1">
        <f t="shared" si="9"/>
        <v>0.83405641596512436</v>
      </c>
      <c r="O26">
        <f t="shared" si="2"/>
        <v>2.8428548467751558E-3</v>
      </c>
      <c r="P26" s="1">
        <f t="shared" si="3"/>
        <v>2.3003533736424006E-3</v>
      </c>
      <c r="Q26">
        <f t="shared" si="4"/>
        <v>5.5834636387697362E-4</v>
      </c>
      <c r="R26" s="1">
        <f t="shared" si="5"/>
        <v>0.16364323066123318</v>
      </c>
      <c r="S26">
        <f t="shared" si="6"/>
        <v>2.2845084828982398E-3</v>
      </c>
      <c r="U26" s="1">
        <f t="shared" si="7"/>
        <v>8.3405641596512439E-2</v>
      </c>
      <c r="V26">
        <f t="shared" si="7"/>
        <v>2.8428548467751558E-4</v>
      </c>
      <c r="W26" s="1">
        <f t="shared" si="7"/>
        <v>2.3003533736424008E-4</v>
      </c>
      <c r="X26">
        <f t="shared" si="7"/>
        <v>5.5834636387697362E-5</v>
      </c>
      <c r="Y26" s="1">
        <f t="shared" si="7"/>
        <v>1.6364323066123319E-2</v>
      </c>
      <c r="Z26">
        <f t="shared" si="7"/>
        <v>2.2845084828982399E-4</v>
      </c>
    </row>
    <row r="27" spans="2:26" x14ac:dyDescent="0.2">
      <c r="B27">
        <v>36.549999999999997</v>
      </c>
      <c r="C27">
        <v>0.95235701310283916</v>
      </c>
      <c r="D27">
        <v>2.3448811159838647E-4</v>
      </c>
      <c r="E27">
        <v>4.7408498785562331E-2</v>
      </c>
      <c r="G27">
        <v>36.549999999999997</v>
      </c>
      <c r="H27">
        <v>0.95475183666489649</v>
      </c>
      <c r="I27">
        <v>6.7006670111599892E-5</v>
      </c>
      <c r="J27">
        <v>4.5181156664991985E-2</v>
      </c>
      <c r="L27" s="7">
        <f t="shared" si="8"/>
        <v>36.549999999999997</v>
      </c>
      <c r="M27" s="5">
        <f t="shared" si="1"/>
        <v>0</v>
      </c>
      <c r="N27" s="1">
        <f t="shared" si="9"/>
        <v>0.95355442488386788</v>
      </c>
      <c r="O27">
        <f t="shared" si="2"/>
        <v>1.1974117810286677E-3</v>
      </c>
      <c r="P27" s="1">
        <f t="shared" si="3"/>
        <v>1.5074739085499319E-4</v>
      </c>
      <c r="Q27">
        <f t="shared" si="4"/>
        <v>8.374072074339328E-5</v>
      </c>
      <c r="R27" s="1">
        <f t="shared" si="5"/>
        <v>4.6294827725277155E-2</v>
      </c>
      <c r="S27">
        <f t="shared" si="6"/>
        <v>1.1136710602851728E-3</v>
      </c>
      <c r="U27" s="1">
        <f t="shared" si="7"/>
        <v>9.5355442488386788E-2</v>
      </c>
      <c r="V27">
        <f t="shared" si="7"/>
        <v>1.1974117810286678E-4</v>
      </c>
      <c r="W27" s="1">
        <f t="shared" si="7"/>
        <v>1.5074739085499319E-5</v>
      </c>
      <c r="X27">
        <f t="shared" si="7"/>
        <v>8.3740720743393283E-6</v>
      </c>
      <c r="Y27" s="1">
        <f t="shared" si="7"/>
        <v>4.6294827725277153E-3</v>
      </c>
      <c r="Z27">
        <f t="shared" si="7"/>
        <v>1.1136710602851728E-4</v>
      </c>
    </row>
    <row r="28" spans="2:26" x14ac:dyDescent="0.2">
      <c r="B28">
        <v>40.43333333333333</v>
      </c>
      <c r="C28">
        <v>0.96618108888809162</v>
      </c>
      <c r="D28">
        <v>1.1208554051008981E-4</v>
      </c>
      <c r="E28">
        <v>3.3706825571398237E-2</v>
      </c>
      <c r="G28">
        <v>40.450000000000003</v>
      </c>
      <c r="H28">
        <v>0.97020291818659243</v>
      </c>
      <c r="I28">
        <v>0</v>
      </c>
      <c r="J28">
        <v>2.9797081813407594E-2</v>
      </c>
      <c r="L28" s="7">
        <f t="shared" si="8"/>
        <v>40.441666666666663</v>
      </c>
      <c r="M28" s="5">
        <f>_xlfn.STDEV.P(B28,G28)</f>
        <v>8.3333333333364124E-3</v>
      </c>
      <c r="N28" s="1">
        <f t="shared" si="9"/>
        <v>0.96819200353734203</v>
      </c>
      <c r="O28">
        <f t="shared" si="2"/>
        <v>2.010914649250406E-3</v>
      </c>
      <c r="P28" s="1">
        <f t="shared" si="3"/>
        <v>5.6042770255044903E-5</v>
      </c>
      <c r="Q28">
        <f t="shared" si="4"/>
        <v>5.6042770255044903E-5</v>
      </c>
      <c r="R28" s="1">
        <f t="shared" si="5"/>
        <v>3.1751953692402912E-2</v>
      </c>
      <c r="S28">
        <f t="shared" si="6"/>
        <v>1.9548718789953214E-3</v>
      </c>
      <c r="U28" s="1">
        <f t="shared" si="7"/>
        <v>9.6819200353734203E-2</v>
      </c>
      <c r="V28">
        <f t="shared" si="7"/>
        <v>2.0109146492504061E-4</v>
      </c>
      <c r="W28" s="1">
        <f t="shared" si="7"/>
        <v>5.604277025504491E-6</v>
      </c>
      <c r="X28">
        <f t="shared" si="7"/>
        <v>5.604277025504491E-6</v>
      </c>
      <c r="Y28" s="1">
        <f t="shared" si="7"/>
        <v>3.1751953692402916E-3</v>
      </c>
      <c r="Z28">
        <f t="shared" si="7"/>
        <v>1.9548718789953214E-4</v>
      </c>
    </row>
    <row r="29" spans="2:26" x14ac:dyDescent="0.2">
      <c r="B29">
        <v>46.466666666666669</v>
      </c>
      <c r="C29">
        <v>0.98108141273083704</v>
      </c>
      <c r="D29">
        <v>0</v>
      </c>
      <c r="E29">
        <v>1.8918587269162887E-2</v>
      </c>
      <c r="G29">
        <v>46.466666666666669</v>
      </c>
      <c r="H29">
        <v>0.98285759946699558</v>
      </c>
      <c r="I29">
        <v>0</v>
      </c>
      <c r="J29">
        <v>1.7142400533004365E-2</v>
      </c>
      <c r="L29" s="7">
        <f t="shared" ref="L29:L31" si="10">AVERAGE(B29,G29)</f>
        <v>46.466666666666669</v>
      </c>
      <c r="M29" s="5">
        <f t="shared" ref="M29:M31" si="11">_xlfn.STDEV.P(B29,G29)</f>
        <v>0</v>
      </c>
      <c r="N29" s="1">
        <f t="shared" ref="N29:N31" si="12">AVERAGE(C29,H29)</f>
        <v>0.98196950609891631</v>
      </c>
      <c r="O29">
        <f t="shared" ref="O29:O31" si="13">_xlfn.STDEV.P(C29,H29)</f>
        <v>8.8809336807926798E-4</v>
      </c>
      <c r="P29" s="1">
        <f t="shared" ref="P29:P31" si="14">AVERAGE(D29,I29)</f>
        <v>0</v>
      </c>
      <c r="Q29">
        <f t="shared" ref="Q29:Q31" si="15">_xlfn.STDEV.P(D29,I29)</f>
        <v>0</v>
      </c>
      <c r="R29" s="1">
        <f t="shared" ref="R29:R31" si="16">AVERAGE(E29,J29)</f>
        <v>1.8030493901083626E-2</v>
      </c>
      <c r="S29">
        <f t="shared" ref="S29:S31" si="17">_xlfn.STDEV.P(E29,J29)</f>
        <v>8.8809336807926104E-4</v>
      </c>
      <c r="U29" s="1">
        <f t="shared" ref="U29:U31" si="18">0.1*N29</f>
        <v>9.8196950609891642E-2</v>
      </c>
      <c r="V29">
        <f t="shared" ref="V29:V31" si="19">0.1*O29</f>
        <v>8.88093368079268E-5</v>
      </c>
      <c r="W29" s="1">
        <f t="shared" ref="W29:W31" si="20">0.1*P29</f>
        <v>0</v>
      </c>
      <c r="X29">
        <f t="shared" ref="X29:X31" si="21">0.1*Q29</f>
        <v>0</v>
      </c>
      <c r="Y29" s="1">
        <f t="shared" ref="Y29:Y31" si="22">0.1*R29</f>
        <v>1.8030493901083626E-3</v>
      </c>
      <c r="Z29">
        <f t="shared" ref="Z29:Z31" si="23">0.1*S29</f>
        <v>8.8809336807926109E-5</v>
      </c>
    </row>
    <row r="30" spans="2:26" x14ac:dyDescent="0.2">
      <c r="B30">
        <v>60.666666666666664</v>
      </c>
      <c r="C30">
        <v>0.99420800433626622</v>
      </c>
      <c r="D30">
        <v>0</v>
      </c>
      <c r="E30">
        <v>5.7919956637337844E-3</v>
      </c>
      <c r="G30">
        <v>60.666666666666664</v>
      </c>
      <c r="H30">
        <v>0.99497919101393717</v>
      </c>
      <c r="I30">
        <v>0</v>
      </c>
      <c r="J30">
        <v>5.0208089860628588E-3</v>
      </c>
      <c r="L30" s="7">
        <f t="shared" si="10"/>
        <v>60.666666666666664</v>
      </c>
      <c r="M30" s="5">
        <f t="shared" si="11"/>
        <v>0</v>
      </c>
      <c r="N30" s="1">
        <f t="shared" si="12"/>
        <v>0.99459359767510169</v>
      </c>
      <c r="O30">
        <f t="shared" si="13"/>
        <v>3.8559333883547708E-4</v>
      </c>
      <c r="P30" s="1">
        <f t="shared" si="14"/>
        <v>0</v>
      </c>
      <c r="Q30">
        <f t="shared" si="15"/>
        <v>0</v>
      </c>
      <c r="R30" s="1">
        <f t="shared" si="16"/>
        <v>5.4064023248983212E-3</v>
      </c>
      <c r="S30">
        <f t="shared" si="17"/>
        <v>3.8559333883546277E-4</v>
      </c>
      <c r="U30" s="1">
        <f t="shared" si="18"/>
        <v>9.9459359767510178E-2</v>
      </c>
      <c r="V30">
        <f t="shared" si="19"/>
        <v>3.855933388354771E-5</v>
      </c>
      <c r="W30" s="1">
        <f t="shared" si="20"/>
        <v>0</v>
      </c>
      <c r="X30">
        <f t="shared" si="21"/>
        <v>0</v>
      </c>
      <c r="Y30" s="1">
        <f t="shared" si="22"/>
        <v>5.4064023248983218E-4</v>
      </c>
      <c r="Z30">
        <f t="shared" si="23"/>
        <v>3.855933388354628E-5</v>
      </c>
    </row>
    <row r="31" spans="2:26" x14ac:dyDescent="0.2">
      <c r="B31">
        <v>74.95</v>
      </c>
      <c r="C31">
        <v>1</v>
      </c>
      <c r="D31">
        <v>0</v>
      </c>
      <c r="E31">
        <v>0</v>
      </c>
      <c r="G31">
        <v>75.11666666666666</v>
      </c>
      <c r="H31">
        <v>1</v>
      </c>
      <c r="I31">
        <v>0</v>
      </c>
      <c r="J31">
        <v>0</v>
      </c>
      <c r="L31" s="7">
        <f t="shared" si="10"/>
        <v>75.033333333333331</v>
      </c>
      <c r="M31" s="5">
        <f t="shared" si="11"/>
        <v>8.3333333333328596E-2</v>
      </c>
      <c r="N31" s="1">
        <f t="shared" si="12"/>
        <v>1</v>
      </c>
      <c r="O31">
        <f t="shared" si="13"/>
        <v>0</v>
      </c>
      <c r="P31" s="1">
        <f t="shared" si="14"/>
        <v>0</v>
      </c>
      <c r="Q31">
        <f t="shared" si="15"/>
        <v>0</v>
      </c>
      <c r="R31" s="1">
        <f t="shared" si="16"/>
        <v>0</v>
      </c>
      <c r="S31">
        <f t="shared" si="17"/>
        <v>0</v>
      </c>
      <c r="U31" s="1">
        <f t="shared" si="18"/>
        <v>0.1</v>
      </c>
      <c r="V31">
        <f t="shared" si="19"/>
        <v>0</v>
      </c>
      <c r="W31" s="1">
        <f t="shared" si="20"/>
        <v>0</v>
      </c>
      <c r="X31">
        <f t="shared" si="21"/>
        <v>0</v>
      </c>
      <c r="Y31" s="1">
        <f t="shared" si="22"/>
        <v>0</v>
      </c>
      <c r="Z31">
        <f t="shared" si="23"/>
        <v>0</v>
      </c>
    </row>
    <row r="36" spans="1:26" x14ac:dyDescent="0.2">
      <c r="B36" t="s">
        <v>254</v>
      </c>
      <c r="G36" t="s">
        <v>255</v>
      </c>
      <c r="L36" s="7" t="s">
        <v>245</v>
      </c>
      <c r="M36" s="5"/>
      <c r="N36" s="1" t="s">
        <v>246</v>
      </c>
      <c r="P36" s="1"/>
      <c r="R36" s="1"/>
      <c r="U36" s="1" t="s">
        <v>247</v>
      </c>
      <c r="W36" s="1"/>
      <c r="Y36" s="1"/>
    </row>
    <row r="37" spans="1:26" x14ac:dyDescent="0.2">
      <c r="A37" t="s">
        <v>253</v>
      </c>
      <c r="B37" t="s">
        <v>10</v>
      </c>
      <c r="C37" t="s">
        <v>1</v>
      </c>
      <c r="D37" t="s">
        <v>2</v>
      </c>
      <c r="E37" t="s">
        <v>3</v>
      </c>
      <c r="G37" t="s">
        <v>10</v>
      </c>
      <c r="H37" t="s">
        <v>1</v>
      </c>
      <c r="I37" t="s">
        <v>2</v>
      </c>
      <c r="J37" t="s">
        <v>3</v>
      </c>
      <c r="L37" s="7" t="s">
        <v>20</v>
      </c>
      <c r="M37" s="5" t="s">
        <v>248</v>
      </c>
      <c r="N37" s="1" t="s">
        <v>249</v>
      </c>
      <c r="O37" t="s">
        <v>250</v>
      </c>
      <c r="P37" s="1" t="s">
        <v>2</v>
      </c>
      <c r="Q37" t="s">
        <v>251</v>
      </c>
      <c r="R37" s="1" t="s">
        <v>3</v>
      </c>
      <c r="S37" t="s">
        <v>252</v>
      </c>
      <c r="U37" s="1" t="s">
        <v>249</v>
      </c>
      <c r="V37" t="s">
        <v>250</v>
      </c>
      <c r="W37" s="1" t="s">
        <v>2</v>
      </c>
      <c r="X37" t="s">
        <v>251</v>
      </c>
      <c r="Y37" s="1" t="s">
        <v>3</v>
      </c>
      <c r="Z37" t="s">
        <v>252</v>
      </c>
    </row>
    <row r="38" spans="1:26" x14ac:dyDescent="0.2">
      <c r="B38">
        <v>0</v>
      </c>
      <c r="C38">
        <v>1</v>
      </c>
      <c r="D38">
        <v>0</v>
      </c>
      <c r="E38">
        <v>0</v>
      </c>
      <c r="G38">
        <v>0</v>
      </c>
      <c r="H38">
        <v>1</v>
      </c>
      <c r="I38">
        <v>0</v>
      </c>
      <c r="J38">
        <v>0</v>
      </c>
      <c r="L38" s="7">
        <f>AVERAGE(B38,G38)</f>
        <v>0</v>
      </c>
      <c r="M38" s="5">
        <f>_xlfn.STDEV.P(B38,G38)</f>
        <v>0</v>
      </c>
      <c r="N38" s="1">
        <f>AVERAGE(C38,H38)</f>
        <v>1</v>
      </c>
      <c r="O38">
        <f>_xlfn.STDEV.P(C38,H38)</f>
        <v>0</v>
      </c>
      <c r="P38" s="1">
        <f>AVERAGE(D38,I38)</f>
        <v>0</v>
      </c>
      <c r="Q38">
        <f>_xlfn.STDEV.P(D38,I38)</f>
        <v>0</v>
      </c>
      <c r="R38" s="1">
        <f>AVERAGE(E38,J38)</f>
        <v>0</v>
      </c>
      <c r="S38">
        <f>_xlfn.STDEV.P(E38,J38)</f>
        <v>0</v>
      </c>
      <c r="U38" s="1">
        <f>0.1*N38</f>
        <v>0.1</v>
      </c>
      <c r="V38">
        <f t="shared" ref="V38:V53" si="24">0.1*O38</f>
        <v>0</v>
      </c>
      <c r="W38" s="1">
        <f t="shared" ref="W38:W66" si="25">0.1*P38</f>
        <v>0</v>
      </c>
      <c r="X38">
        <f t="shared" ref="X38:X66" si="26">0.1*Q38</f>
        <v>0</v>
      </c>
      <c r="Y38" s="1">
        <f t="shared" ref="Y38:Y66" si="27">0.1*R38</f>
        <v>0</v>
      </c>
      <c r="Z38">
        <f t="shared" ref="Z38:Z66" si="28">0.1*S38</f>
        <v>0</v>
      </c>
    </row>
    <row r="39" spans="1:26" x14ac:dyDescent="0.2">
      <c r="B39">
        <v>0.05</v>
      </c>
      <c r="C39">
        <v>0.90442581093264474</v>
      </c>
      <c r="D39">
        <v>1.47899927903474E-2</v>
      </c>
      <c r="E39">
        <v>8.0784196277007905E-2</v>
      </c>
      <c r="G39">
        <v>0.05</v>
      </c>
      <c r="H39">
        <v>0.90511957044002389</v>
      </c>
      <c r="I39">
        <v>1.4496062824942911E-2</v>
      </c>
      <c r="J39">
        <v>8.0384366735033311E-2</v>
      </c>
      <c r="L39" s="7">
        <f>AVERAGE(B39,G39)</f>
        <v>0.05</v>
      </c>
      <c r="M39" s="5">
        <f t="shared" ref="M39:M62" si="29">_xlfn.STDEV.P(B39,G39)</f>
        <v>0</v>
      </c>
      <c r="N39" s="1">
        <f>AVERAGE(C39,H39)</f>
        <v>0.90477269068633426</v>
      </c>
      <c r="O39">
        <f t="shared" ref="O39:O66" si="30">_xlfn.STDEV.P(C39,H39)</f>
        <v>3.4687975368957735E-4</v>
      </c>
      <c r="P39" s="1">
        <f t="shared" ref="P39:P63" si="31">AVERAGE(D39,I39)</f>
        <v>1.4643027807645155E-2</v>
      </c>
      <c r="Q39">
        <f t="shared" ref="Q39:Q66" si="32">_xlfn.STDEV.P(D39,I39)</f>
        <v>1.4696498270224453E-4</v>
      </c>
      <c r="R39" s="1">
        <f t="shared" ref="R39:R66" si="33">AVERAGE(E39,J39)</f>
        <v>8.0584281506020608E-2</v>
      </c>
      <c r="S39">
        <f t="shared" ref="S39:S66" si="34">_xlfn.STDEV.P(E39,J39)</f>
        <v>1.9991477098729726E-4</v>
      </c>
      <c r="U39" s="1">
        <f t="shared" ref="U39:U66" si="35">0.1*N39</f>
        <v>9.0477269068633431E-2</v>
      </c>
      <c r="V39">
        <f t="shared" si="24"/>
        <v>3.4687975368957735E-5</v>
      </c>
      <c r="W39" s="1">
        <f t="shared" si="25"/>
        <v>1.4643027807645155E-3</v>
      </c>
      <c r="X39">
        <f t="shared" si="26"/>
        <v>1.4696498270224454E-5</v>
      </c>
      <c r="Y39" s="1">
        <f t="shared" si="27"/>
        <v>8.0584281506020615E-3</v>
      </c>
      <c r="Z39">
        <f t="shared" si="28"/>
        <v>1.9991477098729727E-5</v>
      </c>
    </row>
    <row r="40" spans="1:26" x14ac:dyDescent="0.2">
      <c r="B40">
        <v>0.65</v>
      </c>
      <c r="C40">
        <v>0.18171219747525785</v>
      </c>
      <c r="D40">
        <v>2.140380385077224E-2</v>
      </c>
      <c r="E40">
        <v>0.79688399867396986</v>
      </c>
      <c r="G40">
        <v>0.66666666666666674</v>
      </c>
      <c r="H40">
        <v>0.19655119950426378</v>
      </c>
      <c r="I40">
        <v>2.2366576852259117E-2</v>
      </c>
      <c r="J40">
        <v>0.78108222364347712</v>
      </c>
      <c r="L40" s="7">
        <f t="shared" ref="L40:L66" si="36">AVERAGE(B40,G40)</f>
        <v>0.65833333333333344</v>
      </c>
      <c r="M40" s="5">
        <f>_xlfn.STDEV.P(B40,G40)</f>
        <v>8.3333333333333592E-3</v>
      </c>
      <c r="N40" s="1">
        <f t="shared" ref="N40:N66" si="37">AVERAGE(C40,H40)</f>
        <v>0.1891316984897608</v>
      </c>
      <c r="O40">
        <f t="shared" si="30"/>
        <v>7.4195010145029633E-3</v>
      </c>
      <c r="P40" s="1">
        <f t="shared" si="31"/>
        <v>2.1885190351515676E-2</v>
      </c>
      <c r="Q40">
        <f t="shared" si="32"/>
        <v>4.8138650074343835E-4</v>
      </c>
      <c r="R40" s="1">
        <f t="shared" si="33"/>
        <v>0.78898311115872355</v>
      </c>
      <c r="S40">
        <f t="shared" si="34"/>
        <v>7.9008875152463687E-3</v>
      </c>
      <c r="U40" s="1">
        <f t="shared" si="35"/>
        <v>1.8913169848976081E-2</v>
      </c>
      <c r="V40">
        <f t="shared" si="24"/>
        <v>7.4195010145029642E-4</v>
      </c>
      <c r="W40" s="1">
        <f t="shared" si="25"/>
        <v>2.1885190351515677E-3</v>
      </c>
      <c r="X40">
        <f t="shared" si="26"/>
        <v>4.8138650074343835E-5</v>
      </c>
      <c r="Y40" s="1">
        <f t="shared" si="27"/>
        <v>7.8898311115872366E-2</v>
      </c>
      <c r="Z40">
        <f t="shared" si="28"/>
        <v>7.9008875152463689E-4</v>
      </c>
    </row>
    <row r="41" spans="1:26" x14ac:dyDescent="0.2">
      <c r="B41">
        <v>1.2666666666666666</v>
      </c>
      <c r="C41">
        <v>0.15027685816180322</v>
      </c>
      <c r="D41">
        <v>3.8213605856312526E-2</v>
      </c>
      <c r="E41">
        <v>0.81150953598188424</v>
      </c>
      <c r="G41">
        <v>1.2666666666666666</v>
      </c>
      <c r="H41">
        <v>0.1636891652523661</v>
      </c>
      <c r="I41">
        <v>3.9705792072845608E-2</v>
      </c>
      <c r="J41">
        <v>0.79660504267478827</v>
      </c>
      <c r="L41" s="7">
        <f>AVERAGE(B41,G41)</f>
        <v>1.2666666666666666</v>
      </c>
      <c r="M41" s="5">
        <f t="shared" ref="M41:M64" si="38">_xlfn.STDEV.P(B41,G41)</f>
        <v>0</v>
      </c>
      <c r="N41" s="1">
        <f t="shared" si="37"/>
        <v>0.15698301170708467</v>
      </c>
      <c r="O41">
        <f t="shared" si="30"/>
        <v>6.7061535452814375E-3</v>
      </c>
      <c r="P41" s="1">
        <f t="shared" si="31"/>
        <v>3.895969896457907E-2</v>
      </c>
      <c r="Q41">
        <f t="shared" si="32"/>
        <v>7.4609310826654132E-4</v>
      </c>
      <c r="R41" s="1">
        <f t="shared" si="33"/>
        <v>0.8040572893283362</v>
      </c>
      <c r="S41">
        <f t="shared" si="34"/>
        <v>7.4522466535479892E-3</v>
      </c>
      <c r="U41" s="1">
        <f t="shared" si="35"/>
        <v>1.569830117070847E-2</v>
      </c>
      <c r="V41">
        <f t="shared" si="24"/>
        <v>6.7061535452814377E-4</v>
      </c>
      <c r="W41" s="1">
        <f t="shared" si="25"/>
        <v>3.895969896457907E-3</v>
      </c>
      <c r="X41">
        <f t="shared" si="26"/>
        <v>7.4609310826654132E-5</v>
      </c>
      <c r="Y41" s="1">
        <f t="shared" si="27"/>
        <v>8.0405728932833626E-2</v>
      </c>
      <c r="Z41">
        <f t="shared" si="28"/>
        <v>7.4522466535479899E-4</v>
      </c>
    </row>
    <row r="42" spans="1:26" x14ac:dyDescent="0.2">
      <c r="B42">
        <v>1.8666666666666667</v>
      </c>
      <c r="C42">
        <v>0.14131461989723312</v>
      </c>
      <c r="D42">
        <v>5.2178148868153876E-2</v>
      </c>
      <c r="E42">
        <v>0.80650723123461299</v>
      </c>
      <c r="G42">
        <v>1.8666666666666667</v>
      </c>
      <c r="H42">
        <v>0.15409826667710236</v>
      </c>
      <c r="I42">
        <v>5.2342563719054894E-2</v>
      </c>
      <c r="J42">
        <v>0.79355916960384276</v>
      </c>
      <c r="L42" s="7">
        <f t="shared" si="36"/>
        <v>1.8666666666666667</v>
      </c>
      <c r="M42" s="5">
        <f t="shared" si="38"/>
        <v>0</v>
      </c>
      <c r="N42" s="1">
        <f t="shared" si="37"/>
        <v>0.14770644328716775</v>
      </c>
      <c r="O42">
        <f t="shared" si="30"/>
        <v>6.3918233899346172E-3</v>
      </c>
      <c r="P42" s="1">
        <f>AVERAGE(D42,I42)</f>
        <v>5.2260356293604385E-2</v>
      </c>
      <c r="Q42">
        <f t="shared" si="32"/>
        <v>8.2207425450508964E-5</v>
      </c>
      <c r="R42" s="1">
        <f t="shared" si="33"/>
        <v>0.80003320041922787</v>
      </c>
      <c r="S42">
        <f t="shared" si="34"/>
        <v>6.4740308153851123E-3</v>
      </c>
      <c r="U42" s="1">
        <f t="shared" si="35"/>
        <v>1.4770644328716775E-2</v>
      </c>
      <c r="V42">
        <f t="shared" si="24"/>
        <v>6.3918233899346174E-4</v>
      </c>
      <c r="W42" s="1">
        <f t="shared" si="25"/>
        <v>5.2260356293604392E-3</v>
      </c>
      <c r="X42">
        <f t="shared" si="26"/>
        <v>8.2207425450508961E-6</v>
      </c>
      <c r="Y42" s="1">
        <f t="shared" si="27"/>
        <v>8.0003320041922787E-2</v>
      </c>
      <c r="Z42">
        <f t="shared" si="28"/>
        <v>6.4740308153851125E-4</v>
      </c>
    </row>
    <row r="43" spans="1:26" x14ac:dyDescent="0.2">
      <c r="B43">
        <v>2.4666666666666668</v>
      </c>
      <c r="C43">
        <v>0.13588916730644182</v>
      </c>
      <c r="D43">
        <v>6.1283874209167449E-2</v>
      </c>
      <c r="E43">
        <v>0.80282695848439067</v>
      </c>
      <c r="G43">
        <v>2.4666666666666668</v>
      </c>
      <c r="H43">
        <v>0.14856376133895502</v>
      </c>
      <c r="I43">
        <v>6.2359946762054599E-2</v>
      </c>
      <c r="J43">
        <v>0.78907629189899042</v>
      </c>
      <c r="L43" s="7">
        <f t="shared" si="36"/>
        <v>2.4666666666666668</v>
      </c>
      <c r="M43" s="5">
        <f t="shared" si="38"/>
        <v>0</v>
      </c>
      <c r="N43" s="1">
        <f>AVERAGE(C43,H43)</f>
        <v>0.14222646432269842</v>
      </c>
      <c r="O43">
        <f t="shared" si="30"/>
        <v>6.3372970162565989E-3</v>
      </c>
      <c r="P43" s="1">
        <f t="shared" ref="P43:P66" si="39">AVERAGE(D43,I43)</f>
        <v>6.1821910485611024E-2</v>
      </c>
      <c r="Q43">
        <f t="shared" si="32"/>
        <v>5.3803627644357505E-4</v>
      </c>
      <c r="R43" s="1">
        <f t="shared" si="33"/>
        <v>0.79595162519169049</v>
      </c>
      <c r="S43">
        <f t="shared" si="34"/>
        <v>6.8753332927001254E-3</v>
      </c>
      <c r="U43" s="1">
        <f t="shared" si="35"/>
        <v>1.4222646432269843E-2</v>
      </c>
      <c r="V43">
        <f t="shared" si="24"/>
        <v>6.3372970162565989E-4</v>
      </c>
      <c r="W43" s="1">
        <f t="shared" si="25"/>
        <v>6.1821910485611031E-3</v>
      </c>
      <c r="X43">
        <f t="shared" si="26"/>
        <v>5.3803627644357507E-5</v>
      </c>
      <c r="Y43" s="1">
        <f t="shared" si="27"/>
        <v>7.9595162519169052E-2</v>
      </c>
      <c r="Z43">
        <f t="shared" si="28"/>
        <v>6.8753332927001256E-4</v>
      </c>
    </row>
    <row r="44" spans="1:26" x14ac:dyDescent="0.2">
      <c r="B44">
        <v>3.0666666666666669</v>
      </c>
      <c r="C44">
        <v>0.13590112677698535</v>
      </c>
      <c r="D44">
        <v>6.640193742894461E-2</v>
      </c>
      <c r="E44">
        <v>0.79769693579407008</v>
      </c>
      <c r="G44">
        <v>3.0666666666666669</v>
      </c>
      <c r="H44">
        <v>0.14688035003603514</v>
      </c>
      <c r="I44">
        <v>6.8635111060273812E-2</v>
      </c>
      <c r="J44">
        <v>0.78448453890369096</v>
      </c>
      <c r="L44" s="7">
        <f t="shared" si="36"/>
        <v>3.0666666666666669</v>
      </c>
      <c r="M44" s="5">
        <f t="shared" si="38"/>
        <v>0</v>
      </c>
      <c r="N44" s="1">
        <f t="shared" si="37"/>
        <v>0.14139073840651023</v>
      </c>
      <c r="O44">
        <f>_xlfn.STDEV.P(C44,H44)</f>
        <v>5.4896116295248959E-3</v>
      </c>
      <c r="P44" s="1">
        <f t="shared" si="39"/>
        <v>6.7518524244609218E-2</v>
      </c>
      <c r="Q44">
        <f t="shared" si="32"/>
        <v>1.1165868156646011E-3</v>
      </c>
      <c r="R44" s="1">
        <f t="shared" si="33"/>
        <v>0.79109073734888047</v>
      </c>
      <c r="S44">
        <f t="shared" si="34"/>
        <v>6.6061984451895595E-3</v>
      </c>
      <c r="U44" s="1">
        <f t="shared" si="35"/>
        <v>1.4139073840651023E-2</v>
      </c>
      <c r="V44">
        <f t="shared" si="24"/>
        <v>5.4896116295248965E-4</v>
      </c>
      <c r="W44" s="1">
        <f t="shared" si="25"/>
        <v>6.7518524244609222E-3</v>
      </c>
      <c r="X44">
        <f t="shared" si="26"/>
        <v>1.1165868156646011E-4</v>
      </c>
      <c r="Y44" s="1">
        <f t="shared" si="27"/>
        <v>7.9109073734888055E-2</v>
      </c>
      <c r="Z44">
        <f t="shared" si="28"/>
        <v>6.6061984451895595E-4</v>
      </c>
    </row>
    <row r="45" spans="1:26" x14ac:dyDescent="0.2">
      <c r="B45">
        <v>3.6666666666666665</v>
      </c>
      <c r="C45">
        <v>0.13642773443298439</v>
      </c>
      <c r="D45">
        <v>7.0895240931213965E-2</v>
      </c>
      <c r="E45">
        <v>0.7926770246358017</v>
      </c>
      <c r="G45">
        <v>3.6833333333333336</v>
      </c>
      <c r="H45">
        <v>0.15397642460313424</v>
      </c>
      <c r="I45">
        <v>7.2494158298581357E-2</v>
      </c>
      <c r="J45">
        <v>0.77352941709828438</v>
      </c>
      <c r="L45" s="7">
        <f t="shared" si="36"/>
        <v>3.6749999999999998</v>
      </c>
      <c r="M45" s="5">
        <f t="shared" si="38"/>
        <v>8.3333333333335258E-3</v>
      </c>
      <c r="N45" s="1">
        <f t="shared" si="37"/>
        <v>0.1452020795180593</v>
      </c>
      <c r="O45">
        <f t="shared" si="30"/>
        <v>8.7743450850749222E-3</v>
      </c>
      <c r="P45" s="1">
        <f>AVERAGE(D45,I45)</f>
        <v>7.1694699614897661E-2</v>
      </c>
      <c r="Q45">
        <f t="shared" si="32"/>
        <v>7.9945868368369588E-4</v>
      </c>
      <c r="R45" s="1">
        <f t="shared" si="33"/>
        <v>0.78310322086704298</v>
      </c>
      <c r="S45">
        <f t="shared" si="34"/>
        <v>9.5738037687586597E-3</v>
      </c>
      <c r="U45" s="1">
        <f t="shared" si="35"/>
        <v>1.4520207951805931E-2</v>
      </c>
      <c r="V45">
        <f t="shared" si="24"/>
        <v>8.7743450850749226E-4</v>
      </c>
      <c r="W45" s="1">
        <f t="shared" si="25"/>
        <v>7.1694699614897666E-3</v>
      </c>
      <c r="X45">
        <f t="shared" si="26"/>
        <v>7.9945868368369596E-5</v>
      </c>
      <c r="Y45" s="1">
        <f t="shared" si="27"/>
        <v>7.8310322086704298E-2</v>
      </c>
      <c r="Z45">
        <f t="shared" si="28"/>
        <v>9.5738037687586599E-4</v>
      </c>
    </row>
    <row r="46" spans="1:26" x14ac:dyDescent="0.2">
      <c r="B46">
        <v>4.2833333333333332</v>
      </c>
      <c r="C46">
        <v>0.13900157729452087</v>
      </c>
      <c r="D46">
        <v>7.2029989322009463E-2</v>
      </c>
      <c r="E46">
        <v>0.78896843338346967</v>
      </c>
      <c r="G46">
        <v>4.2833333333333332</v>
      </c>
      <c r="H46">
        <v>0.15207313694405453</v>
      </c>
      <c r="I46">
        <v>6.9942590336692922E-2</v>
      </c>
      <c r="J46">
        <v>0.77798427271925263</v>
      </c>
      <c r="L46" s="7">
        <f t="shared" si="36"/>
        <v>4.2833333333333332</v>
      </c>
      <c r="M46" s="5">
        <f t="shared" si="38"/>
        <v>0</v>
      </c>
      <c r="N46" s="1">
        <f t="shared" si="37"/>
        <v>0.1455373571192877</v>
      </c>
      <c r="O46">
        <f t="shared" si="30"/>
        <v>6.5357798247668297E-3</v>
      </c>
      <c r="P46" s="1">
        <f t="shared" si="39"/>
        <v>7.0986289829351193E-2</v>
      </c>
      <c r="Q46">
        <f>_xlfn.STDEV.P(D46,I46)</f>
        <v>1.0436994926582704E-3</v>
      </c>
      <c r="R46" s="1">
        <f t="shared" si="33"/>
        <v>0.7834763530513611</v>
      </c>
      <c r="S46">
        <f t="shared" si="34"/>
        <v>5.4920803321085176E-3</v>
      </c>
      <c r="U46" s="1">
        <f t="shared" si="35"/>
        <v>1.4553735711928771E-2</v>
      </c>
      <c r="V46">
        <f t="shared" si="24"/>
        <v>6.5357798247668304E-4</v>
      </c>
      <c r="W46" s="1">
        <f t="shared" si="25"/>
        <v>7.0986289829351196E-3</v>
      </c>
      <c r="X46">
        <f t="shared" si="26"/>
        <v>1.0436994926582705E-4</v>
      </c>
      <c r="Y46" s="1">
        <f t="shared" si="27"/>
        <v>7.834763530513611E-2</v>
      </c>
      <c r="Z46">
        <f t="shared" si="28"/>
        <v>5.4920803321085174E-4</v>
      </c>
    </row>
    <row r="47" spans="1:26" x14ac:dyDescent="0.2">
      <c r="B47">
        <v>4.8833333333333337</v>
      </c>
      <c r="C47">
        <v>0.14814691854312184</v>
      </c>
      <c r="D47">
        <v>7.0620662927941155E-2</v>
      </c>
      <c r="E47">
        <v>0.78123241852893699</v>
      </c>
      <c r="G47">
        <v>4.8833333333333337</v>
      </c>
      <c r="H47">
        <v>0.16238008951300278</v>
      </c>
      <c r="I47">
        <v>7.0946177078628742E-2</v>
      </c>
      <c r="J47">
        <v>0.76667373340836842</v>
      </c>
      <c r="L47" s="7">
        <f t="shared" si="36"/>
        <v>4.8833333333333337</v>
      </c>
      <c r="M47" s="5">
        <f t="shared" si="38"/>
        <v>0</v>
      </c>
      <c r="N47" s="1">
        <f t="shared" si="37"/>
        <v>0.15526350402806233</v>
      </c>
      <c r="O47">
        <f t="shared" si="30"/>
        <v>7.1165854849404714E-3</v>
      </c>
      <c r="P47" s="1">
        <f t="shared" si="39"/>
        <v>7.0783420003284941E-2</v>
      </c>
      <c r="Q47">
        <f t="shared" si="32"/>
        <v>1.6275707534379319E-4</v>
      </c>
      <c r="R47" s="1">
        <f t="shared" si="33"/>
        <v>0.7739530759686527</v>
      </c>
      <c r="S47">
        <f t="shared" si="34"/>
        <v>7.2793425602842854E-3</v>
      </c>
      <c r="U47" s="1">
        <f t="shared" si="35"/>
        <v>1.5526350402806234E-2</v>
      </c>
      <c r="V47">
        <f t="shared" si="24"/>
        <v>7.1165854849404716E-4</v>
      </c>
      <c r="W47" s="1">
        <f t="shared" si="25"/>
        <v>7.0783420003284947E-3</v>
      </c>
      <c r="X47">
        <f t="shared" si="26"/>
        <v>1.627570753437932E-5</v>
      </c>
      <c r="Y47" s="1">
        <f t="shared" si="27"/>
        <v>7.7395307596865276E-2</v>
      </c>
      <c r="Z47">
        <f t="shared" si="28"/>
        <v>7.2793425602842856E-4</v>
      </c>
    </row>
    <row r="48" spans="1:26" x14ac:dyDescent="0.2">
      <c r="B48">
        <v>5.4833333333333334</v>
      </c>
      <c r="C48">
        <v>0.15966863281007307</v>
      </c>
      <c r="D48">
        <v>7.1322126715861481E-2</v>
      </c>
      <c r="E48">
        <v>0.76900924047406538</v>
      </c>
      <c r="G48">
        <v>5.4833333333333334</v>
      </c>
      <c r="H48">
        <v>0.17843884378512151</v>
      </c>
      <c r="I48">
        <v>6.5856473815354005E-2</v>
      </c>
      <c r="J48">
        <v>0.75570468239952449</v>
      </c>
      <c r="L48" s="7">
        <f t="shared" si="36"/>
        <v>5.4833333333333334</v>
      </c>
      <c r="M48" s="5">
        <f t="shared" si="38"/>
        <v>0</v>
      </c>
      <c r="N48" s="1">
        <f t="shared" si="37"/>
        <v>0.16905373829759729</v>
      </c>
      <c r="O48">
        <f t="shared" si="30"/>
        <v>9.3851054875242201E-3</v>
      </c>
      <c r="P48" s="1">
        <f t="shared" si="39"/>
        <v>6.858930026560775E-2</v>
      </c>
      <c r="Q48">
        <f t="shared" si="32"/>
        <v>2.7328264502537378E-3</v>
      </c>
      <c r="R48" s="1">
        <f t="shared" si="33"/>
        <v>0.76235696143679488</v>
      </c>
      <c r="S48">
        <f t="shared" si="34"/>
        <v>6.6522790372704477E-3</v>
      </c>
      <c r="U48" s="1">
        <f t="shared" si="35"/>
        <v>1.6905373829759731E-2</v>
      </c>
      <c r="V48">
        <f t="shared" si="24"/>
        <v>9.3851054875242201E-4</v>
      </c>
      <c r="W48" s="1">
        <f t="shared" si="25"/>
        <v>6.8589300265607753E-3</v>
      </c>
      <c r="X48">
        <f t="shared" si="26"/>
        <v>2.7328264502537379E-4</v>
      </c>
      <c r="Y48" s="1">
        <f t="shared" si="27"/>
        <v>7.6235696143679491E-2</v>
      </c>
      <c r="Z48">
        <f t="shared" si="28"/>
        <v>6.6522790372704481E-4</v>
      </c>
    </row>
    <row r="49" spans="2:26" x14ac:dyDescent="0.2">
      <c r="B49">
        <v>6.083333333333333</v>
      </c>
      <c r="C49">
        <v>0.16662202102504811</v>
      </c>
      <c r="D49">
        <v>6.7419110384257991E-2</v>
      </c>
      <c r="E49">
        <v>0.76595886859069395</v>
      </c>
      <c r="G49">
        <v>6.083333333333333</v>
      </c>
      <c r="H49">
        <v>0.18600192827019715</v>
      </c>
      <c r="I49">
        <v>6.1134699236401698E-2</v>
      </c>
      <c r="J49">
        <v>0.75286337249340118</v>
      </c>
      <c r="L49" s="7">
        <f t="shared" si="36"/>
        <v>6.083333333333333</v>
      </c>
      <c r="M49" s="5">
        <f t="shared" si="38"/>
        <v>0</v>
      </c>
      <c r="N49" s="1">
        <f t="shared" si="37"/>
        <v>0.17631197464762263</v>
      </c>
      <c r="O49">
        <f t="shared" si="30"/>
        <v>9.6899536225745209E-3</v>
      </c>
      <c r="P49" s="1">
        <f t="shared" si="39"/>
        <v>6.4276904810329841E-2</v>
      </c>
      <c r="Q49">
        <f t="shared" si="32"/>
        <v>3.1422055739281467E-3</v>
      </c>
      <c r="R49" s="1">
        <f t="shared" si="33"/>
        <v>0.75941112054204751</v>
      </c>
      <c r="S49">
        <f t="shared" si="34"/>
        <v>6.5477480486463846E-3</v>
      </c>
      <c r="U49" s="1">
        <f t="shared" si="35"/>
        <v>1.7631197464762265E-2</v>
      </c>
      <c r="V49">
        <f t="shared" si="24"/>
        <v>9.6899536225745217E-4</v>
      </c>
      <c r="W49" s="1">
        <f t="shared" si="25"/>
        <v>6.4276904810329841E-3</v>
      </c>
      <c r="X49">
        <f t="shared" si="26"/>
        <v>3.1422055739281467E-4</v>
      </c>
      <c r="Y49" s="1">
        <f t="shared" si="27"/>
        <v>7.5941112054204757E-2</v>
      </c>
      <c r="Z49">
        <f t="shared" si="28"/>
        <v>6.5477480486463848E-4</v>
      </c>
    </row>
    <row r="50" spans="2:26" x14ac:dyDescent="0.2">
      <c r="B50">
        <v>6.6833333333333336</v>
      </c>
      <c r="C50">
        <v>0.18258927188785967</v>
      </c>
      <c r="D50">
        <v>6.4922370184331404E-2</v>
      </c>
      <c r="E50">
        <v>0.75248835792780888</v>
      </c>
      <c r="G50">
        <v>6.6833333333333336</v>
      </c>
      <c r="H50">
        <v>0.20978950642720001</v>
      </c>
      <c r="I50">
        <v>5.9031602206873916E-2</v>
      </c>
      <c r="J50">
        <v>0.73117889136592606</v>
      </c>
      <c r="L50" s="7">
        <f t="shared" si="36"/>
        <v>6.6833333333333336</v>
      </c>
      <c r="M50" s="5">
        <f t="shared" si="38"/>
        <v>0</v>
      </c>
      <c r="N50" s="1">
        <f t="shared" si="37"/>
        <v>0.19618938915752984</v>
      </c>
      <c r="O50">
        <f t="shared" si="30"/>
        <v>1.360011726967017E-2</v>
      </c>
      <c r="P50" s="1">
        <f t="shared" si="39"/>
        <v>6.1976986195602657E-2</v>
      </c>
      <c r="Q50">
        <f t="shared" si="32"/>
        <v>2.945383988728744E-3</v>
      </c>
      <c r="R50" s="1">
        <f t="shared" si="33"/>
        <v>0.74183362464686753</v>
      </c>
      <c r="S50">
        <f t="shared" si="34"/>
        <v>1.0654733280941409E-2</v>
      </c>
      <c r="U50" s="1">
        <f t="shared" si="35"/>
        <v>1.9618938915752986E-2</v>
      </c>
      <c r="V50">
        <f>0.1*O50</f>
        <v>1.3600117269670171E-3</v>
      </c>
      <c r="W50" s="1">
        <f t="shared" si="25"/>
        <v>6.1976986195602657E-3</v>
      </c>
      <c r="X50">
        <f t="shared" si="26"/>
        <v>2.945383988728744E-4</v>
      </c>
      <c r="Y50" s="1">
        <f t="shared" si="27"/>
        <v>7.418336246468675E-2</v>
      </c>
      <c r="Z50">
        <f t="shared" si="28"/>
        <v>1.065473328094141E-3</v>
      </c>
    </row>
    <row r="51" spans="2:26" x14ac:dyDescent="0.2">
      <c r="B51">
        <v>7.2833333333333332</v>
      </c>
      <c r="C51">
        <v>0.19708647663065254</v>
      </c>
      <c r="D51">
        <v>6.4302371170043449E-2</v>
      </c>
      <c r="E51">
        <v>0.73861115219930396</v>
      </c>
      <c r="G51">
        <v>7.3</v>
      </c>
      <c r="H51">
        <v>0.22477907894792495</v>
      </c>
      <c r="I51">
        <v>5.6871818678461881E-2</v>
      </c>
      <c r="J51">
        <v>0.71834910237361316</v>
      </c>
      <c r="L51" s="7">
        <f t="shared" si="36"/>
        <v>7.2916666666666661</v>
      </c>
      <c r="M51" s="5">
        <f t="shared" si="38"/>
        <v>8.3333333333333037E-3</v>
      </c>
      <c r="N51" s="1">
        <f t="shared" si="37"/>
        <v>0.21093277778928876</v>
      </c>
      <c r="O51">
        <f t="shared" si="30"/>
        <v>1.3846301158636207E-2</v>
      </c>
      <c r="P51" s="1">
        <f t="shared" si="39"/>
        <v>6.0587094924252669E-2</v>
      </c>
      <c r="Q51">
        <f t="shared" si="32"/>
        <v>3.7152762457907836E-3</v>
      </c>
      <c r="R51" s="1">
        <f t="shared" si="33"/>
        <v>0.7284801272864585</v>
      </c>
      <c r="S51">
        <f t="shared" si="34"/>
        <v>1.0131024912845399E-2</v>
      </c>
      <c r="U51" s="1">
        <f t="shared" si="35"/>
        <v>2.1093277778928877E-2</v>
      </c>
      <c r="V51">
        <f t="shared" ref="V51:V66" si="40">0.1*O51</f>
        <v>1.3846301158636208E-3</v>
      </c>
      <c r="W51" s="1">
        <f t="shared" si="25"/>
        <v>6.058709492425267E-3</v>
      </c>
      <c r="X51">
        <f t="shared" si="26"/>
        <v>3.7152762457907837E-4</v>
      </c>
      <c r="Y51" s="1">
        <f t="shared" si="27"/>
        <v>7.2848012728645856E-2</v>
      </c>
      <c r="Z51">
        <f t="shared" si="28"/>
        <v>1.0131024912845398E-3</v>
      </c>
    </row>
    <row r="52" spans="2:26" x14ac:dyDescent="0.2">
      <c r="B52">
        <v>7.9</v>
      </c>
      <c r="C52">
        <v>0.22298410659833176</v>
      </c>
      <c r="D52">
        <v>6.1227727252858653E-2</v>
      </c>
      <c r="E52">
        <v>0.71578816614880969</v>
      </c>
      <c r="G52">
        <v>7.9</v>
      </c>
      <c r="H52">
        <v>0.24120841369617285</v>
      </c>
      <c r="I52">
        <v>5.1675778884571519E-2</v>
      </c>
      <c r="J52">
        <v>0.70711580741925562</v>
      </c>
      <c r="L52" s="7">
        <f t="shared" si="36"/>
        <v>7.9</v>
      </c>
      <c r="M52" s="5">
        <f>_xlfn.STDEV.P(B52,G52)</f>
        <v>0</v>
      </c>
      <c r="N52" s="1">
        <f t="shared" si="37"/>
        <v>0.23209626014725232</v>
      </c>
      <c r="O52">
        <f t="shared" si="30"/>
        <v>9.1121535489205457E-3</v>
      </c>
      <c r="P52" s="1">
        <f t="shared" si="39"/>
        <v>5.6451753068715083E-2</v>
      </c>
      <c r="Q52">
        <f t="shared" si="32"/>
        <v>4.7759741841435673E-3</v>
      </c>
      <c r="R52" s="1">
        <f t="shared" si="33"/>
        <v>0.71145198678403265</v>
      </c>
      <c r="S52">
        <f t="shared" si="34"/>
        <v>4.3361793647770375E-3</v>
      </c>
      <c r="U52" s="1">
        <f t="shared" si="35"/>
        <v>2.3209626014725232E-2</v>
      </c>
      <c r="V52">
        <f t="shared" si="40"/>
        <v>9.112153548920546E-4</v>
      </c>
      <c r="W52" s="1">
        <f t="shared" si="25"/>
        <v>5.6451753068715088E-3</v>
      </c>
      <c r="X52">
        <f t="shared" si="26"/>
        <v>4.7759741841435673E-4</v>
      </c>
      <c r="Y52" s="1">
        <f t="shared" si="27"/>
        <v>7.1145198678403271E-2</v>
      </c>
      <c r="Z52">
        <f t="shared" si="28"/>
        <v>4.3361793647770378E-4</v>
      </c>
    </row>
    <row r="53" spans="2:26" x14ac:dyDescent="0.2">
      <c r="B53">
        <v>8.5</v>
      </c>
      <c r="C53">
        <v>0.23846598078191023</v>
      </c>
      <c r="D53">
        <v>5.8227156840061224E-2</v>
      </c>
      <c r="E53">
        <v>0.70330686237802864</v>
      </c>
      <c r="G53">
        <v>8.5</v>
      </c>
      <c r="H53">
        <v>0.26613415649990535</v>
      </c>
      <c r="I53">
        <v>4.8057224943000174E-2</v>
      </c>
      <c r="J53">
        <v>0.68580861855709441</v>
      </c>
      <c r="L53" s="7">
        <f t="shared" si="36"/>
        <v>8.5</v>
      </c>
      <c r="M53" s="5">
        <f t="shared" ref="M53:M66" si="41">_xlfn.STDEV.P(B53,G53)</f>
        <v>0</v>
      </c>
      <c r="N53" s="1">
        <f t="shared" si="37"/>
        <v>0.25230006864090782</v>
      </c>
      <c r="O53">
        <f t="shared" si="30"/>
        <v>1.3834087858997562E-2</v>
      </c>
      <c r="P53" s="1">
        <f t="shared" si="39"/>
        <v>5.3142190891530702E-2</v>
      </c>
      <c r="Q53">
        <f t="shared" si="32"/>
        <v>5.0849659485305253E-3</v>
      </c>
      <c r="R53" s="1">
        <f t="shared" si="33"/>
        <v>0.69455774046756158</v>
      </c>
      <c r="S53">
        <f t="shared" si="34"/>
        <v>8.749121910467117E-3</v>
      </c>
      <c r="U53" s="1">
        <f t="shared" si="35"/>
        <v>2.5230006864090784E-2</v>
      </c>
      <c r="V53">
        <f t="shared" si="40"/>
        <v>1.3834087858997563E-3</v>
      </c>
      <c r="W53" s="1">
        <f t="shared" si="25"/>
        <v>5.3142190891530706E-3</v>
      </c>
      <c r="X53">
        <f t="shared" si="26"/>
        <v>5.0849659485305255E-4</v>
      </c>
      <c r="Y53" s="1">
        <f t="shared" si="27"/>
        <v>6.9455774046756166E-2</v>
      </c>
      <c r="Z53">
        <f t="shared" si="28"/>
        <v>8.749121910467117E-4</v>
      </c>
    </row>
    <row r="54" spans="2:26" x14ac:dyDescent="0.2">
      <c r="B54">
        <v>9.1</v>
      </c>
      <c r="C54">
        <v>0.25840777223885891</v>
      </c>
      <c r="D54">
        <v>5.6767511835705185E-2</v>
      </c>
      <c r="E54">
        <v>0.68482471592543581</v>
      </c>
      <c r="G54">
        <v>9.1</v>
      </c>
      <c r="H54">
        <v>0.28311511314636695</v>
      </c>
      <c r="I54">
        <v>4.7059525388918957E-2</v>
      </c>
      <c r="J54">
        <v>0.66982536146471405</v>
      </c>
      <c r="L54" s="7">
        <f t="shared" si="36"/>
        <v>9.1</v>
      </c>
      <c r="M54" s="5">
        <f t="shared" si="41"/>
        <v>0</v>
      </c>
      <c r="N54" s="1">
        <f t="shared" si="37"/>
        <v>0.27076144269261293</v>
      </c>
      <c r="O54">
        <f t="shared" si="30"/>
        <v>1.2353670453754018E-2</v>
      </c>
      <c r="P54" s="1">
        <f t="shared" si="39"/>
        <v>5.1913518612312068E-2</v>
      </c>
      <c r="Q54">
        <f t="shared" si="32"/>
        <v>4.8539932233931139E-3</v>
      </c>
      <c r="R54" s="1">
        <f t="shared" si="33"/>
        <v>0.67732503869507488</v>
      </c>
      <c r="S54">
        <f t="shared" si="34"/>
        <v>7.4996772303608794E-3</v>
      </c>
      <c r="U54" s="1">
        <f t="shared" si="35"/>
        <v>2.7076144269261294E-2</v>
      </c>
      <c r="V54">
        <f t="shared" si="40"/>
        <v>1.2353670453754018E-3</v>
      </c>
      <c r="W54" s="1">
        <f t="shared" si="25"/>
        <v>5.1913518612312073E-3</v>
      </c>
      <c r="X54">
        <f t="shared" si="26"/>
        <v>4.853993223393114E-4</v>
      </c>
      <c r="Y54" s="1">
        <f t="shared" si="27"/>
        <v>6.7732503869507493E-2</v>
      </c>
      <c r="Z54">
        <f t="shared" si="28"/>
        <v>7.4996772303608796E-4</v>
      </c>
    </row>
    <row r="55" spans="2:26" x14ac:dyDescent="0.2">
      <c r="B55">
        <v>9.6999999999999993</v>
      </c>
      <c r="C55">
        <v>0.27652023718275487</v>
      </c>
      <c r="D55">
        <v>5.236778524115461E-2</v>
      </c>
      <c r="E55">
        <v>0.67111197757609065</v>
      </c>
      <c r="G55">
        <v>9.6999999999999993</v>
      </c>
      <c r="H55">
        <v>0.30479724579898343</v>
      </c>
      <c r="I55">
        <v>4.3163841076220441E-2</v>
      </c>
      <c r="J55">
        <v>0.65203891312479612</v>
      </c>
      <c r="L55" s="7">
        <f t="shared" si="36"/>
        <v>9.6999999999999993</v>
      </c>
      <c r="M55" s="5">
        <f t="shared" si="41"/>
        <v>0</v>
      </c>
      <c r="N55" s="1">
        <f t="shared" si="37"/>
        <v>0.29065874149086912</v>
      </c>
      <c r="O55">
        <f t="shared" si="30"/>
        <v>1.413850430811428E-2</v>
      </c>
      <c r="P55" s="1">
        <f t="shared" si="39"/>
        <v>4.7765813158687526E-2</v>
      </c>
      <c r="Q55">
        <f t="shared" si="32"/>
        <v>4.6019720824670846E-3</v>
      </c>
      <c r="R55" s="1">
        <f t="shared" si="33"/>
        <v>0.66157544535044344</v>
      </c>
      <c r="S55">
        <f t="shared" si="34"/>
        <v>9.5365322256472651E-3</v>
      </c>
      <c r="U55" s="1">
        <f t="shared" si="35"/>
        <v>2.9065874149086915E-2</v>
      </c>
      <c r="V55">
        <f t="shared" si="40"/>
        <v>1.4138504308114281E-3</v>
      </c>
      <c r="W55" s="1">
        <f t="shared" si="25"/>
        <v>4.7765813158687533E-3</v>
      </c>
      <c r="X55">
        <f t="shared" si="26"/>
        <v>4.6019720824670848E-4</v>
      </c>
      <c r="Y55" s="1">
        <f t="shared" si="27"/>
        <v>6.6157544535044341E-2</v>
      </c>
      <c r="Z55">
        <f t="shared" si="28"/>
        <v>9.5365322256472658E-4</v>
      </c>
    </row>
    <row r="56" spans="2:26" x14ac:dyDescent="0.2">
      <c r="B56">
        <v>10.3</v>
      </c>
      <c r="C56">
        <v>0.29675680376882912</v>
      </c>
      <c r="D56">
        <v>4.936364105351173E-2</v>
      </c>
      <c r="E56">
        <v>0.65387955517765917</v>
      </c>
      <c r="G56">
        <v>10.316666666666666</v>
      </c>
      <c r="H56">
        <v>0.32638606049868196</v>
      </c>
      <c r="I56">
        <v>4.0886874254955421E-2</v>
      </c>
      <c r="J56">
        <v>0.63272706524636257</v>
      </c>
      <c r="L56" s="7">
        <f t="shared" si="36"/>
        <v>10.308333333333334</v>
      </c>
      <c r="M56" s="5">
        <f t="shared" si="41"/>
        <v>8.3333333333328596E-3</v>
      </c>
      <c r="N56" s="1">
        <f t="shared" si="37"/>
        <v>0.31157143213375554</v>
      </c>
      <c r="O56">
        <f t="shared" si="30"/>
        <v>1.4814628364926419E-2</v>
      </c>
      <c r="P56" s="1">
        <f t="shared" si="39"/>
        <v>4.5125257654233572E-2</v>
      </c>
      <c r="Q56">
        <f t="shared" si="32"/>
        <v>4.238383399278154E-3</v>
      </c>
      <c r="R56" s="1">
        <f t="shared" si="33"/>
        <v>0.64330331021201093</v>
      </c>
      <c r="S56">
        <f t="shared" si="34"/>
        <v>1.0576244965648296E-2</v>
      </c>
      <c r="U56" s="1">
        <f t="shared" si="35"/>
        <v>3.1157143213375555E-2</v>
      </c>
      <c r="V56">
        <f t="shared" si="40"/>
        <v>1.4814628364926419E-3</v>
      </c>
      <c r="W56" s="1">
        <f t="shared" si="25"/>
        <v>4.5125257654233574E-3</v>
      </c>
      <c r="X56">
        <f t="shared" si="26"/>
        <v>4.2383833992781545E-4</v>
      </c>
      <c r="Y56" s="1">
        <f t="shared" si="27"/>
        <v>6.4330331021201101E-2</v>
      </c>
      <c r="Z56">
        <f t="shared" si="28"/>
        <v>1.0576244965648297E-3</v>
      </c>
    </row>
    <row r="57" spans="2:26" x14ac:dyDescent="0.2">
      <c r="B57">
        <v>10.916666666666666</v>
      </c>
      <c r="C57">
        <v>0.31550633024618768</v>
      </c>
      <c r="D57">
        <v>4.9057497630016475E-2</v>
      </c>
      <c r="E57">
        <v>0.63543617212379588</v>
      </c>
      <c r="G57">
        <v>10.916666666666666</v>
      </c>
      <c r="H57">
        <v>0.33901580481685889</v>
      </c>
      <c r="I57">
        <v>3.7192631758719064E-2</v>
      </c>
      <c r="J57">
        <v>0.62379156342442199</v>
      </c>
      <c r="L57" s="7">
        <f t="shared" si="36"/>
        <v>10.916666666666666</v>
      </c>
      <c r="M57" s="5">
        <f t="shared" si="41"/>
        <v>0</v>
      </c>
      <c r="N57" s="1">
        <f t="shared" si="37"/>
        <v>0.32726106753152329</v>
      </c>
      <c r="O57">
        <f t="shared" si="30"/>
        <v>1.1754737285335604E-2</v>
      </c>
      <c r="P57" s="1">
        <f t="shared" si="39"/>
        <v>4.3125064694367769E-2</v>
      </c>
      <c r="Q57">
        <f t="shared" si="32"/>
        <v>5.9324329356487057E-3</v>
      </c>
      <c r="R57" s="1">
        <f t="shared" si="33"/>
        <v>0.62961386777410899</v>
      </c>
      <c r="S57">
        <f t="shared" si="34"/>
        <v>5.8223043496869464E-3</v>
      </c>
      <c r="U57" s="1">
        <f t="shared" si="35"/>
        <v>3.272610675315233E-2</v>
      </c>
      <c r="V57">
        <f t="shared" si="40"/>
        <v>1.1754737285335605E-3</v>
      </c>
      <c r="W57" s="1">
        <f t="shared" si="25"/>
        <v>4.3125064694367774E-3</v>
      </c>
      <c r="X57">
        <f t="shared" si="26"/>
        <v>5.9324329356487057E-4</v>
      </c>
      <c r="Y57" s="1">
        <f t="shared" si="27"/>
        <v>6.2961386777410908E-2</v>
      </c>
      <c r="Z57">
        <f t="shared" si="28"/>
        <v>5.8223043496869462E-4</v>
      </c>
    </row>
    <row r="58" spans="2:26" x14ac:dyDescent="0.2">
      <c r="B58">
        <v>11.516666666666667</v>
      </c>
      <c r="C58">
        <v>0.3337332365279122</v>
      </c>
      <c r="D58">
        <v>4.4041444431661199E-2</v>
      </c>
      <c r="E58">
        <v>0.62222531904042666</v>
      </c>
      <c r="G58">
        <v>11.516666666666667</v>
      </c>
      <c r="H58">
        <v>0.3649701936928329</v>
      </c>
      <c r="I58">
        <v>3.258826020627268E-2</v>
      </c>
      <c r="J58">
        <v>0.60244154610089451</v>
      </c>
      <c r="L58" s="7">
        <f t="shared" si="36"/>
        <v>11.516666666666667</v>
      </c>
      <c r="M58" s="5">
        <f t="shared" si="41"/>
        <v>0</v>
      </c>
      <c r="N58" s="1">
        <f t="shared" si="37"/>
        <v>0.34935171511037255</v>
      </c>
      <c r="O58">
        <f t="shared" si="30"/>
        <v>1.5618478582460349E-2</v>
      </c>
      <c r="P58" s="1">
        <f t="shared" si="39"/>
        <v>3.831485231896694E-2</v>
      </c>
      <c r="Q58">
        <f t="shared" si="32"/>
        <v>5.7265921126942593E-3</v>
      </c>
      <c r="R58" s="1">
        <f t="shared" si="33"/>
        <v>0.61233343257066064</v>
      </c>
      <c r="S58">
        <f t="shared" si="34"/>
        <v>9.8918864697660758E-3</v>
      </c>
      <c r="U58" s="1">
        <f t="shared" si="35"/>
        <v>3.4935171511037255E-2</v>
      </c>
      <c r="V58">
        <f t="shared" si="40"/>
        <v>1.5618478582460349E-3</v>
      </c>
      <c r="W58" s="1">
        <f t="shared" si="25"/>
        <v>3.831485231896694E-3</v>
      </c>
      <c r="X58">
        <f t="shared" si="26"/>
        <v>5.7265921126942599E-4</v>
      </c>
      <c r="Y58" s="1">
        <f t="shared" si="27"/>
        <v>6.1233343257066065E-2</v>
      </c>
      <c r="Z58">
        <f t="shared" si="28"/>
        <v>9.8918864697660771E-4</v>
      </c>
    </row>
    <row r="59" spans="2:26" x14ac:dyDescent="0.2">
      <c r="B59">
        <v>12.116666666666667</v>
      </c>
      <c r="C59">
        <v>0.3525408470250207</v>
      </c>
      <c r="D59">
        <v>4.4034678556876032E-2</v>
      </c>
      <c r="E59">
        <v>0.60342447441810332</v>
      </c>
      <c r="G59">
        <v>12.116666666666667</v>
      </c>
      <c r="H59">
        <v>0.38403263360278267</v>
      </c>
      <c r="I59">
        <v>3.056649009695394E-2</v>
      </c>
      <c r="J59">
        <v>0.5854008763002635</v>
      </c>
      <c r="L59" s="7">
        <f t="shared" si="36"/>
        <v>12.116666666666667</v>
      </c>
      <c r="M59" s="5">
        <f t="shared" si="41"/>
        <v>0</v>
      </c>
      <c r="N59" s="1">
        <f t="shared" si="37"/>
        <v>0.36828674031390168</v>
      </c>
      <c r="O59">
        <f t="shared" si="30"/>
        <v>1.5745893288880985E-2</v>
      </c>
      <c r="P59" s="1">
        <f t="shared" si="39"/>
        <v>3.7300584326914986E-2</v>
      </c>
      <c r="Q59">
        <f t="shared" si="32"/>
        <v>6.7340942299610428E-3</v>
      </c>
      <c r="R59" s="1">
        <f t="shared" si="33"/>
        <v>0.59441267535918341</v>
      </c>
      <c r="S59">
        <f t="shared" si="34"/>
        <v>9.0117990589199115E-3</v>
      </c>
      <c r="U59" s="1">
        <f t="shared" si="35"/>
        <v>3.6828674031390167E-2</v>
      </c>
      <c r="V59">
        <f t="shared" si="40"/>
        <v>1.5745893288880985E-3</v>
      </c>
      <c r="W59" s="1">
        <f t="shared" si="25"/>
        <v>3.7300584326914986E-3</v>
      </c>
      <c r="X59">
        <f t="shared" si="26"/>
        <v>6.7340942299610432E-4</v>
      </c>
      <c r="Y59" s="1">
        <f t="shared" si="27"/>
        <v>5.9441267535918343E-2</v>
      </c>
      <c r="Z59">
        <f t="shared" si="28"/>
        <v>9.0117990589199119E-4</v>
      </c>
    </row>
    <row r="60" spans="2:26" x14ac:dyDescent="0.2">
      <c r="B60">
        <v>16.033333333333335</v>
      </c>
      <c r="C60">
        <v>0.46443005607420867</v>
      </c>
      <c r="D60">
        <v>3.2761982600043135E-2</v>
      </c>
      <c r="E60">
        <v>0.50280796132574823</v>
      </c>
      <c r="G60">
        <v>16.033333333333335</v>
      </c>
      <c r="H60">
        <v>0.49469248406139321</v>
      </c>
      <c r="I60">
        <v>1.6179687321553053E-2</v>
      </c>
      <c r="J60">
        <v>0.48912782861705373</v>
      </c>
      <c r="L60" s="7">
        <f t="shared" si="36"/>
        <v>16.033333333333335</v>
      </c>
      <c r="M60" s="5">
        <f t="shared" si="41"/>
        <v>0</v>
      </c>
      <c r="N60" s="1">
        <f t="shared" si="37"/>
        <v>0.47956127006780092</v>
      </c>
      <c r="O60">
        <f t="shared" si="30"/>
        <v>1.5131213993592268E-2</v>
      </c>
      <c r="P60" s="1">
        <f t="shared" si="39"/>
        <v>2.4470834960798094E-2</v>
      </c>
      <c r="Q60">
        <f t="shared" si="32"/>
        <v>8.2911476392450358E-3</v>
      </c>
      <c r="R60" s="1">
        <f t="shared" si="33"/>
        <v>0.49596789497140098</v>
      </c>
      <c r="S60">
        <f t="shared" si="34"/>
        <v>6.8400663543472517E-3</v>
      </c>
      <c r="U60" s="1">
        <f t="shared" si="35"/>
        <v>4.7956127006780092E-2</v>
      </c>
      <c r="V60">
        <f t="shared" si="40"/>
        <v>1.513121399359227E-3</v>
      </c>
      <c r="W60" s="1">
        <f t="shared" si="25"/>
        <v>2.4470834960798097E-3</v>
      </c>
      <c r="X60">
        <f t="shared" si="26"/>
        <v>8.2911476392450367E-4</v>
      </c>
      <c r="Y60" s="1">
        <f t="shared" si="27"/>
        <v>4.9596789497140102E-2</v>
      </c>
      <c r="Z60">
        <f t="shared" si="28"/>
        <v>6.8400663543472526E-4</v>
      </c>
    </row>
    <row r="61" spans="2:26" x14ac:dyDescent="0.2">
      <c r="B61">
        <v>22.066666666666666</v>
      </c>
      <c r="C61">
        <v>0.61009789851497875</v>
      </c>
      <c r="D61">
        <v>2.0005418689160486E-2</v>
      </c>
      <c r="E61">
        <v>0.36989668279586074</v>
      </c>
      <c r="G61">
        <v>22.066666666666666</v>
      </c>
      <c r="H61">
        <v>0.65387858539734367</v>
      </c>
      <c r="I61">
        <v>6.5929004961043768E-3</v>
      </c>
      <c r="J61">
        <v>0.33952851410655199</v>
      </c>
      <c r="L61" s="7">
        <f t="shared" si="36"/>
        <v>22.066666666666666</v>
      </c>
      <c r="M61" s="5">
        <f t="shared" si="41"/>
        <v>0</v>
      </c>
      <c r="N61" s="1">
        <f t="shared" si="37"/>
        <v>0.63198824195616121</v>
      </c>
      <c r="O61">
        <f t="shared" si="30"/>
        <v>2.1890343441182458E-2</v>
      </c>
      <c r="P61" s="1">
        <f t="shared" si="39"/>
        <v>1.3299159592632431E-2</v>
      </c>
      <c r="Q61">
        <f t="shared" si="32"/>
        <v>6.7062590965280564E-3</v>
      </c>
      <c r="R61" s="1">
        <f t="shared" si="33"/>
        <v>0.3547125984512064</v>
      </c>
      <c r="S61">
        <f t="shared" si="34"/>
        <v>1.5184084344654375E-2</v>
      </c>
      <c r="U61" s="1">
        <f t="shared" si="35"/>
        <v>6.3198824195616121E-2</v>
      </c>
      <c r="V61">
        <f t="shared" si="40"/>
        <v>2.1890343441182459E-3</v>
      </c>
      <c r="W61" s="1">
        <f t="shared" si="25"/>
        <v>1.3299159592632431E-3</v>
      </c>
      <c r="X61">
        <f t="shared" si="26"/>
        <v>6.7062590965280566E-4</v>
      </c>
      <c r="Y61" s="1">
        <f t="shared" si="27"/>
        <v>3.5471259845120638E-2</v>
      </c>
      <c r="Z61">
        <f t="shared" si="28"/>
        <v>1.5184084344654375E-3</v>
      </c>
    </row>
    <row r="62" spans="2:26" x14ac:dyDescent="0.2">
      <c r="B62">
        <v>36.56666666666667</v>
      </c>
      <c r="C62">
        <v>0.82197476991495644</v>
      </c>
      <c r="D62">
        <v>7.3646745120566088E-3</v>
      </c>
      <c r="E62">
        <v>0.17066055557298693</v>
      </c>
      <c r="G62">
        <v>36.56666666666667</v>
      </c>
      <c r="H62">
        <v>0.85840299273923304</v>
      </c>
      <c r="I62">
        <v>6.7113472712472164E-4</v>
      </c>
      <c r="J62">
        <v>0.14092587253364219</v>
      </c>
      <c r="L62" s="7">
        <f t="shared" si="36"/>
        <v>36.56666666666667</v>
      </c>
      <c r="M62" s="5">
        <f t="shared" si="41"/>
        <v>0</v>
      </c>
      <c r="N62" s="1">
        <f t="shared" si="37"/>
        <v>0.84018888132709479</v>
      </c>
      <c r="O62">
        <f t="shared" si="30"/>
        <v>1.8214111412138301E-2</v>
      </c>
      <c r="P62" s="1">
        <f t="shared" si="39"/>
        <v>4.0179046195906653E-3</v>
      </c>
      <c r="Q62">
        <f t="shared" si="32"/>
        <v>3.3467698924659435E-3</v>
      </c>
      <c r="R62" s="1">
        <f t="shared" si="33"/>
        <v>0.15579321405331456</v>
      </c>
      <c r="S62">
        <f t="shared" si="34"/>
        <v>1.4867341519672367E-2</v>
      </c>
      <c r="U62" s="1">
        <f t="shared" si="35"/>
        <v>8.4018888132709482E-2</v>
      </c>
      <c r="V62">
        <f t="shared" si="40"/>
        <v>1.8214111412138301E-3</v>
      </c>
      <c r="W62" s="1">
        <f t="shared" si="25"/>
        <v>4.0179046195906655E-4</v>
      </c>
      <c r="X62">
        <f t="shared" si="26"/>
        <v>3.3467698924659437E-4</v>
      </c>
      <c r="Y62" s="1">
        <f t="shared" si="27"/>
        <v>1.5579321405331456E-2</v>
      </c>
      <c r="Z62">
        <f t="shared" si="28"/>
        <v>1.4867341519672367E-3</v>
      </c>
    </row>
    <row r="63" spans="2:26" x14ac:dyDescent="0.2">
      <c r="B63">
        <v>40.450000000000003</v>
      </c>
      <c r="C63">
        <v>0.85875953644400382</v>
      </c>
      <c r="D63">
        <v>5.5966502826142626E-3</v>
      </c>
      <c r="E63">
        <v>0.13564381327338201</v>
      </c>
      <c r="G63">
        <v>40.450000000000003</v>
      </c>
      <c r="H63">
        <v>0.88892430144816192</v>
      </c>
      <c r="I63">
        <v>3.7620808840866678E-4</v>
      </c>
      <c r="J63">
        <v>0.11069949046342942</v>
      </c>
      <c r="L63" s="7">
        <f t="shared" si="36"/>
        <v>40.450000000000003</v>
      </c>
      <c r="M63" s="5">
        <f>_xlfn.STDEV.P(B63,G63)</f>
        <v>0</v>
      </c>
      <c r="N63" s="1">
        <f t="shared" si="37"/>
        <v>0.87384191894608287</v>
      </c>
      <c r="O63">
        <f t="shared" si="30"/>
        <v>1.508238250207905E-2</v>
      </c>
      <c r="P63" s="1">
        <f t="shared" si="39"/>
        <v>2.9864291855114648E-3</v>
      </c>
      <c r="Q63">
        <f t="shared" si="32"/>
        <v>2.6102210971027974E-3</v>
      </c>
      <c r="R63" s="1">
        <f t="shared" si="33"/>
        <v>0.12317165186840572</v>
      </c>
      <c r="S63">
        <f t="shared" si="34"/>
        <v>1.2472161404976293E-2</v>
      </c>
      <c r="U63" s="1">
        <f t="shared" si="35"/>
        <v>8.738419189460829E-2</v>
      </c>
      <c r="V63">
        <f t="shared" si="40"/>
        <v>1.508238250207905E-3</v>
      </c>
      <c r="W63" s="1">
        <f t="shared" si="25"/>
        <v>2.986429185511465E-4</v>
      </c>
      <c r="X63">
        <f t="shared" si="26"/>
        <v>2.6102210971027973E-4</v>
      </c>
      <c r="Y63" s="1">
        <f t="shared" si="27"/>
        <v>1.2317165186840572E-2</v>
      </c>
      <c r="Z63">
        <f t="shared" si="28"/>
        <v>1.2472161404976294E-3</v>
      </c>
    </row>
    <row r="64" spans="2:26" x14ac:dyDescent="0.2">
      <c r="B64">
        <v>46.466666666666669</v>
      </c>
      <c r="C64">
        <v>0.89861193427558306</v>
      </c>
      <c r="D64">
        <v>3.248017662777377E-3</v>
      </c>
      <c r="E64">
        <v>9.814004806163952E-2</v>
      </c>
      <c r="G64">
        <v>46.466666666666669</v>
      </c>
      <c r="H64">
        <v>0.9270015856135605</v>
      </c>
      <c r="I64">
        <v>8.2035166632731738E-5</v>
      </c>
      <c r="J64">
        <v>7.2916379219806843E-2</v>
      </c>
      <c r="L64" s="7">
        <f t="shared" si="36"/>
        <v>46.466666666666669</v>
      </c>
      <c r="M64" s="5">
        <f t="shared" ref="M64:M66" si="42">_xlfn.STDEV.P(B64,G64)</f>
        <v>0</v>
      </c>
      <c r="N64" s="1">
        <f t="shared" si="37"/>
        <v>0.91280675994457172</v>
      </c>
      <c r="O64">
        <f t="shared" si="30"/>
        <v>1.419482566898872E-2</v>
      </c>
      <c r="P64" s="1">
        <f t="shared" si="39"/>
        <v>1.6650264147050544E-3</v>
      </c>
      <c r="Q64">
        <f t="shared" si="32"/>
        <v>1.5829912480723226E-3</v>
      </c>
      <c r="R64" s="1">
        <f t="shared" si="33"/>
        <v>8.5528213640723189E-2</v>
      </c>
      <c r="S64">
        <f t="shared" si="34"/>
        <v>1.261183442091629E-2</v>
      </c>
      <c r="U64" s="1">
        <f t="shared" si="35"/>
        <v>9.1280675994457175E-2</v>
      </c>
      <c r="V64">
        <f t="shared" si="40"/>
        <v>1.4194825668988722E-3</v>
      </c>
      <c r="W64" s="1">
        <f t="shared" si="25"/>
        <v>1.6650264147050544E-4</v>
      </c>
      <c r="X64">
        <f t="shared" si="26"/>
        <v>1.5829912480723227E-4</v>
      </c>
      <c r="Y64" s="1">
        <f t="shared" si="27"/>
        <v>8.5528213640723195E-3</v>
      </c>
      <c r="Z64">
        <f t="shared" si="28"/>
        <v>1.2611834420916291E-3</v>
      </c>
    </row>
    <row r="65" spans="1:34" x14ac:dyDescent="0.2">
      <c r="B65">
        <v>60.666666666666664</v>
      </c>
      <c r="C65">
        <v>0.94835075639024269</v>
      </c>
      <c r="D65">
        <v>1.23854926530174E-3</v>
      </c>
      <c r="E65">
        <v>5.0410694344455692E-2</v>
      </c>
      <c r="G65">
        <v>60.666666666666664</v>
      </c>
      <c r="H65">
        <v>0.97037626970172663</v>
      </c>
      <c r="I65">
        <v>0</v>
      </c>
      <c r="J65">
        <v>2.9623730298273376E-2</v>
      </c>
      <c r="L65" s="7">
        <f t="shared" si="36"/>
        <v>60.666666666666664</v>
      </c>
      <c r="M65" s="5">
        <f t="shared" si="42"/>
        <v>0</v>
      </c>
      <c r="N65" s="1">
        <f t="shared" si="37"/>
        <v>0.95936351304598466</v>
      </c>
      <c r="O65">
        <f t="shared" si="30"/>
        <v>1.1012756655741973E-2</v>
      </c>
      <c r="P65" s="1">
        <f t="shared" si="39"/>
        <v>6.1927463265087001E-4</v>
      </c>
      <c r="Q65">
        <f t="shared" si="32"/>
        <v>6.1927463265087001E-4</v>
      </c>
      <c r="R65" s="1">
        <f t="shared" si="33"/>
        <v>4.0017212321364536E-2</v>
      </c>
      <c r="S65">
        <f t="shared" si="34"/>
        <v>1.0393482023091156E-2</v>
      </c>
      <c r="U65" s="1">
        <f t="shared" si="35"/>
        <v>9.5936351304598474E-2</v>
      </c>
      <c r="V65">
        <f t="shared" si="40"/>
        <v>1.1012756655741974E-3</v>
      </c>
      <c r="W65" s="1">
        <f t="shared" si="25"/>
        <v>6.1927463265087009E-5</v>
      </c>
      <c r="X65">
        <f t="shared" si="26"/>
        <v>6.1927463265087009E-5</v>
      </c>
      <c r="Y65" s="1">
        <f t="shared" si="27"/>
        <v>4.0017212321364539E-3</v>
      </c>
      <c r="Z65">
        <f t="shared" si="28"/>
        <v>1.0393482023091157E-3</v>
      </c>
    </row>
    <row r="66" spans="1:34" x14ac:dyDescent="0.2">
      <c r="B66">
        <v>74.95</v>
      </c>
      <c r="C66">
        <v>0.97687564349784384</v>
      </c>
      <c r="D66">
        <v>0</v>
      </c>
      <c r="E66">
        <v>2.3124356502156201E-2</v>
      </c>
      <c r="G66">
        <v>74.95</v>
      </c>
      <c r="H66">
        <v>0.99245088122316338</v>
      </c>
      <c r="I66">
        <v>0</v>
      </c>
      <c r="J66">
        <v>7.5491187768366953E-3</v>
      </c>
      <c r="L66" s="7">
        <f t="shared" si="36"/>
        <v>74.95</v>
      </c>
      <c r="M66" s="5">
        <f t="shared" si="42"/>
        <v>0</v>
      </c>
      <c r="N66" s="1">
        <f t="shared" si="37"/>
        <v>0.98466326236050361</v>
      </c>
      <c r="O66">
        <f t="shared" si="30"/>
        <v>7.7876188626597731E-3</v>
      </c>
      <c r="P66" s="1">
        <f t="shared" si="39"/>
        <v>0</v>
      </c>
      <c r="Q66">
        <f t="shared" si="32"/>
        <v>0</v>
      </c>
      <c r="R66" s="1">
        <f t="shared" si="33"/>
        <v>1.5336737639496448E-2</v>
      </c>
      <c r="S66">
        <f t="shared" si="34"/>
        <v>7.7876188626597505E-3</v>
      </c>
      <c r="U66" s="1">
        <f t="shared" si="35"/>
        <v>9.8466326236050367E-2</v>
      </c>
      <c r="V66">
        <f t="shared" si="40"/>
        <v>7.7876188626597738E-4</v>
      </c>
      <c r="W66" s="1">
        <f t="shared" si="25"/>
        <v>0</v>
      </c>
      <c r="X66">
        <f t="shared" si="26"/>
        <v>0</v>
      </c>
      <c r="Y66" s="1">
        <f t="shared" si="27"/>
        <v>1.533673763949645E-3</v>
      </c>
      <c r="Z66">
        <f t="shared" si="28"/>
        <v>7.787618862659751E-4</v>
      </c>
    </row>
    <row r="75" spans="1:34" x14ac:dyDescent="0.2">
      <c r="B75" t="s">
        <v>257</v>
      </c>
      <c r="I75" t="s">
        <v>258</v>
      </c>
    </row>
    <row r="76" spans="1:34" x14ac:dyDescent="0.2">
      <c r="A76" t="s">
        <v>256</v>
      </c>
      <c r="B76" t="s">
        <v>10</v>
      </c>
      <c r="C76" t="s">
        <v>1</v>
      </c>
      <c r="D76" t="s">
        <v>2</v>
      </c>
      <c r="E76" t="s">
        <v>18</v>
      </c>
      <c r="F76" t="s">
        <v>4</v>
      </c>
      <c r="G76" t="s">
        <v>8</v>
      </c>
      <c r="I76" t="s">
        <v>10</v>
      </c>
      <c r="J76" t="s">
        <v>1</v>
      </c>
      <c r="K76" t="s">
        <v>2</v>
      </c>
      <c r="L76" t="s">
        <v>18</v>
      </c>
      <c r="M76" t="s">
        <v>4</v>
      </c>
      <c r="N76" t="s">
        <v>8</v>
      </c>
      <c r="P76" s="7" t="s">
        <v>245</v>
      </c>
      <c r="Q76" s="5"/>
      <c r="R76" s="1" t="s">
        <v>246</v>
      </c>
      <c r="U76" s="1"/>
      <c r="W76" s="1"/>
      <c r="Y76" s="1"/>
      <c r="AA76" s="1" t="s">
        <v>259</v>
      </c>
    </row>
    <row r="77" spans="1:34" x14ac:dyDescent="0.2">
      <c r="B77">
        <v>0</v>
      </c>
      <c r="D77">
        <v>0</v>
      </c>
      <c r="E77">
        <v>0</v>
      </c>
      <c r="F77">
        <v>0</v>
      </c>
      <c r="G77">
        <v>1</v>
      </c>
      <c r="I77">
        <v>0</v>
      </c>
      <c r="K77">
        <v>0</v>
      </c>
      <c r="L77">
        <v>0</v>
      </c>
      <c r="M77">
        <v>0</v>
      </c>
      <c r="N77">
        <v>1</v>
      </c>
      <c r="P77" s="7" t="s">
        <v>20</v>
      </c>
      <c r="Q77" s="5" t="s">
        <v>248</v>
      </c>
      <c r="R77" s="1" t="s">
        <v>260</v>
      </c>
      <c r="S77" t="s">
        <v>261</v>
      </c>
      <c r="T77" s="1" t="s">
        <v>2</v>
      </c>
      <c r="U77" t="s">
        <v>262</v>
      </c>
      <c r="V77" s="1" t="s">
        <v>3</v>
      </c>
      <c r="W77" t="s">
        <v>263</v>
      </c>
      <c r="X77" s="1" t="s">
        <v>24</v>
      </c>
      <c r="Y77" t="s">
        <v>264</v>
      </c>
      <c r="AA77" s="1" t="s">
        <v>260</v>
      </c>
      <c r="AB77" t="s">
        <v>261</v>
      </c>
      <c r="AC77" s="1" t="s">
        <v>2</v>
      </c>
      <c r="AD77" t="s">
        <v>262</v>
      </c>
      <c r="AE77" s="1" t="s">
        <v>3</v>
      </c>
      <c r="AF77" t="s">
        <v>263</v>
      </c>
      <c r="AG77" s="1" t="s">
        <v>24</v>
      </c>
      <c r="AH77" t="s">
        <v>264</v>
      </c>
    </row>
    <row r="78" spans="1:34" x14ac:dyDescent="0.2">
      <c r="B78">
        <v>3.3333333333333333E-2</v>
      </c>
      <c r="C78">
        <v>0.89903507954047945</v>
      </c>
      <c r="D78">
        <v>7.0478797639147189E-2</v>
      </c>
      <c r="E78">
        <v>5.3461681333892355E-3</v>
      </c>
      <c r="F78">
        <v>3.5396630965327295E-3</v>
      </c>
      <c r="G78">
        <v>0.92063537113093086</v>
      </c>
      <c r="I78">
        <v>3.3333333333333333E-2</v>
      </c>
      <c r="J78">
        <v>0.89001520911112786</v>
      </c>
      <c r="K78">
        <v>7.7837847225547208E-2</v>
      </c>
      <c r="L78">
        <v>5.8779102518569902E-3</v>
      </c>
      <c r="M78">
        <v>3.9391822643138116E-3</v>
      </c>
      <c r="N78">
        <v>0.91234506025828199</v>
      </c>
      <c r="P78" s="7">
        <f>AVERAGE(B78,I78)</f>
        <v>3.3333333333333333E-2</v>
      </c>
      <c r="Q78" s="5">
        <f>_xlfn.STDEV.P(B78,I78)</f>
        <v>0</v>
      </c>
      <c r="R78" s="1">
        <f>AVERAGE(G78,N78)</f>
        <v>0.91649021569460642</v>
      </c>
      <c r="S78">
        <f>_xlfn.STDEV.P(G78,N78)</f>
        <v>4.1451554363244325E-3</v>
      </c>
      <c r="T78" s="1">
        <f>AVERAGE(D78,K78)</f>
        <v>7.4158322432347198E-2</v>
      </c>
      <c r="U78">
        <f>_xlfn.STDEV.P(D78,K78)</f>
        <v>3.6795247932000091E-3</v>
      </c>
      <c r="V78" s="1">
        <f>AVERAGE(E78,L78)</f>
        <v>5.6120391926231129E-3</v>
      </c>
      <c r="W78">
        <f>_xlfn.STDEV.P(E78,L78)</f>
        <v>2.6587105923387734E-4</v>
      </c>
      <c r="X78" s="1">
        <f>AVERAGE(F78,M78)</f>
        <v>3.7394226804232707E-3</v>
      </c>
      <c r="Y78">
        <f>_xlfn.STDEV.P(F78,M78)</f>
        <v>1.9975958389054104E-4</v>
      </c>
      <c r="AA78">
        <f>R78*0.1</f>
        <v>9.1649021569460642E-2</v>
      </c>
      <c r="AB78">
        <f t="shared" ref="AB78:AH93" si="43">S78*0.1</f>
        <v>4.1451554363244327E-4</v>
      </c>
      <c r="AC78">
        <f t="shared" si="43"/>
        <v>7.4158322432347204E-3</v>
      </c>
      <c r="AD78">
        <f t="shared" si="43"/>
        <v>3.6795247932000096E-4</v>
      </c>
      <c r="AE78">
        <f t="shared" si="43"/>
        <v>5.6120391926231126E-4</v>
      </c>
      <c r="AF78">
        <f t="shared" si="43"/>
        <v>2.6587105923387735E-5</v>
      </c>
      <c r="AG78">
        <f t="shared" si="43"/>
        <v>3.739422680423271E-4</v>
      </c>
      <c r="AH78">
        <f t="shared" si="43"/>
        <v>1.9975958389054106E-5</v>
      </c>
    </row>
    <row r="79" spans="1:34" x14ac:dyDescent="0.2">
      <c r="B79">
        <v>0.65</v>
      </c>
      <c r="C79">
        <v>0.20740544590103255</v>
      </c>
      <c r="D79">
        <v>0.55051235140161392</v>
      </c>
      <c r="E79">
        <v>0.20754828837806755</v>
      </c>
      <c r="F79">
        <v>8.4457681979962281E-3</v>
      </c>
      <c r="G79">
        <v>0.233252853943343</v>
      </c>
      <c r="I79">
        <v>0.65</v>
      </c>
      <c r="J79">
        <v>0.20137403168927998</v>
      </c>
      <c r="K79">
        <v>0.5596067154194434</v>
      </c>
      <c r="L79">
        <v>0.20427978319675358</v>
      </c>
      <c r="M79">
        <v>9.0869936027821781E-3</v>
      </c>
      <c r="N79">
        <v>0.22674779694212613</v>
      </c>
      <c r="P79" s="7">
        <f t="shared" ref="P79:P104" si="44">AVERAGE(B79,I79)</f>
        <v>0.65</v>
      </c>
      <c r="Q79" s="5">
        <f t="shared" ref="Q79:Q104" si="45">_xlfn.STDEV.P(B79,I79)</f>
        <v>0</v>
      </c>
      <c r="R79" s="1">
        <f>AVERAGE(G79,N79)</f>
        <v>0.23000032544273458</v>
      </c>
      <c r="S79">
        <f t="shared" ref="S79:S104" si="46">_xlfn.STDEV.P(G79,N79)</f>
        <v>3.2525285006084342E-3</v>
      </c>
      <c r="T79" s="1">
        <f t="shared" ref="T79:T104" si="47">AVERAGE(D79,K79)</f>
        <v>0.5550595334105286</v>
      </c>
      <c r="U79">
        <f t="shared" ref="U79:U104" si="48">_xlfn.STDEV.P(D79,K79)</f>
        <v>4.5471820089147408E-3</v>
      </c>
      <c r="V79" s="1">
        <f t="shared" ref="V79:V104" si="49">AVERAGE(E79,L79)</f>
        <v>0.20591403578741058</v>
      </c>
      <c r="W79">
        <f t="shared" ref="W79:W104" si="50">_xlfn.STDEV.P(E79,L79)</f>
        <v>1.6342525906569844E-3</v>
      </c>
      <c r="X79" s="1">
        <f t="shared" ref="X79:X104" si="51">AVERAGE(F79,M79)</f>
        <v>8.7663809003892031E-3</v>
      </c>
      <c r="Y79">
        <f t="shared" ref="Y79:Y104" si="52">_xlfn.STDEV.P(F79,M79)</f>
        <v>3.2061270239297501E-4</v>
      </c>
      <c r="AA79">
        <f t="shared" ref="AA79:AH94" si="53">R79*0.1</f>
        <v>2.300003254427346E-2</v>
      </c>
      <c r="AB79">
        <f t="shared" si="43"/>
        <v>3.2525285006084343E-4</v>
      </c>
      <c r="AC79">
        <f t="shared" si="43"/>
        <v>5.5505953341052863E-2</v>
      </c>
      <c r="AD79">
        <f t="shared" si="43"/>
        <v>4.5471820089147409E-4</v>
      </c>
      <c r="AE79">
        <f t="shared" si="43"/>
        <v>2.059140357874106E-2</v>
      </c>
      <c r="AF79">
        <f t="shared" si="43"/>
        <v>1.6342525906569845E-4</v>
      </c>
      <c r="AG79">
        <f t="shared" si="43"/>
        <v>8.7663809003892033E-4</v>
      </c>
      <c r="AH79">
        <f t="shared" si="43"/>
        <v>3.2061270239297503E-5</v>
      </c>
    </row>
    <row r="80" spans="1:34" x14ac:dyDescent="0.2">
      <c r="B80">
        <v>1.25</v>
      </c>
      <c r="C80">
        <v>0.13453288674158004</v>
      </c>
      <c r="D80">
        <v>0.46396156667945604</v>
      </c>
      <c r="E80">
        <v>0.38377423804597838</v>
      </c>
      <c r="F80">
        <v>2.0621531711512014E-3</v>
      </c>
      <c r="G80">
        <v>0.1496669091506326</v>
      </c>
      <c r="I80">
        <v>1.25</v>
      </c>
      <c r="J80">
        <v>0.13177634584180656</v>
      </c>
      <c r="K80">
        <v>0.47258879860973141</v>
      </c>
      <c r="L80">
        <v>0.37815816796522639</v>
      </c>
      <c r="M80">
        <v>2.1072166772729715E-3</v>
      </c>
      <c r="N80">
        <v>0.14662379193121233</v>
      </c>
      <c r="P80" s="7">
        <f t="shared" si="44"/>
        <v>1.25</v>
      </c>
      <c r="Q80" s="5">
        <f t="shared" si="45"/>
        <v>0</v>
      </c>
      <c r="R80" s="1">
        <f t="shared" ref="R80:R104" si="54">AVERAGE(G80,N80)</f>
        <v>0.14814535054092248</v>
      </c>
      <c r="S80">
        <f t="shared" si="46"/>
        <v>1.5215586097101358E-3</v>
      </c>
      <c r="T80" s="1">
        <f t="shared" si="47"/>
        <v>0.46827518264459372</v>
      </c>
      <c r="U80">
        <f t="shared" si="48"/>
        <v>4.3136159651376849E-3</v>
      </c>
      <c r="V80" s="1">
        <f t="shared" si="49"/>
        <v>0.38096620300560236</v>
      </c>
      <c r="W80">
        <f t="shared" si="50"/>
        <v>2.8080350403759946E-3</v>
      </c>
      <c r="X80" s="1">
        <f t="shared" si="51"/>
        <v>2.0846849242120865E-3</v>
      </c>
      <c r="Y80">
        <f t="shared" si="52"/>
        <v>2.2531753060885031E-5</v>
      </c>
      <c r="AA80">
        <f t="shared" si="53"/>
        <v>1.4814535054092248E-2</v>
      </c>
      <c r="AB80">
        <f t="shared" si="43"/>
        <v>1.521558609710136E-4</v>
      </c>
      <c r="AC80">
        <f t="shared" si="43"/>
        <v>4.6827518264459377E-2</v>
      </c>
      <c r="AD80">
        <f t="shared" si="43"/>
        <v>4.3136159651376851E-4</v>
      </c>
      <c r="AE80">
        <f t="shared" si="43"/>
        <v>3.8096620300560241E-2</v>
      </c>
      <c r="AF80">
        <f t="shared" si="43"/>
        <v>2.8080350403759946E-4</v>
      </c>
      <c r="AG80">
        <f t="shared" si="43"/>
        <v>2.0846849242120866E-4</v>
      </c>
      <c r="AH80">
        <f t="shared" si="43"/>
        <v>2.2531753060885034E-6</v>
      </c>
    </row>
    <row r="81" spans="2:34" x14ac:dyDescent="0.2">
      <c r="B81">
        <v>1.85</v>
      </c>
      <c r="C81">
        <v>0.12128015105110923</v>
      </c>
      <c r="D81">
        <v>0.35632291091496815</v>
      </c>
      <c r="E81">
        <v>0.50790315825097199</v>
      </c>
      <c r="F81">
        <v>3.8446814960765965E-4</v>
      </c>
      <c r="G81">
        <v>0.13465620403017492</v>
      </c>
      <c r="I81">
        <v>1.85</v>
      </c>
      <c r="J81">
        <v>0.1193331256880031</v>
      </c>
      <c r="K81">
        <v>0.3520701851627811</v>
      </c>
      <c r="L81">
        <v>0.51332925069863899</v>
      </c>
      <c r="M81">
        <v>3.5824156931761933E-4</v>
      </c>
      <c r="N81">
        <v>0.13344076999182924</v>
      </c>
      <c r="P81" s="7">
        <f t="shared" si="44"/>
        <v>1.85</v>
      </c>
      <c r="Q81" s="5">
        <f t="shared" si="45"/>
        <v>0</v>
      </c>
      <c r="R81" s="1">
        <f t="shared" si="54"/>
        <v>0.13404848701100208</v>
      </c>
      <c r="S81">
        <f t="shared" si="46"/>
        <v>6.077170191728376E-4</v>
      </c>
      <c r="T81" s="1">
        <f t="shared" si="47"/>
        <v>0.35419654803887463</v>
      </c>
      <c r="U81">
        <f t="shared" si="48"/>
        <v>2.1263628760935238E-3</v>
      </c>
      <c r="V81" s="1">
        <f t="shared" si="49"/>
        <v>0.51061620447480549</v>
      </c>
      <c r="W81">
        <f t="shared" si="50"/>
        <v>2.713046223833504E-3</v>
      </c>
      <c r="X81" s="1">
        <f t="shared" si="51"/>
        <v>3.7135485946263947E-4</v>
      </c>
      <c r="Y81">
        <f t="shared" si="52"/>
        <v>1.311329014502016E-5</v>
      </c>
      <c r="AA81">
        <f t="shared" si="53"/>
        <v>1.340484870110021E-2</v>
      </c>
      <c r="AB81">
        <f t="shared" si="43"/>
        <v>6.0771701917283762E-5</v>
      </c>
      <c r="AC81">
        <f t="shared" si="43"/>
        <v>3.5419654803887465E-2</v>
      </c>
      <c r="AD81">
        <f t="shared" si="43"/>
        <v>2.1263628760935239E-4</v>
      </c>
      <c r="AE81">
        <f t="shared" si="43"/>
        <v>5.1061620447480555E-2</v>
      </c>
      <c r="AF81">
        <f t="shared" si="43"/>
        <v>2.7130462238335041E-4</v>
      </c>
      <c r="AG81">
        <f t="shared" si="43"/>
        <v>3.7135485946263951E-5</v>
      </c>
      <c r="AH81">
        <f t="shared" si="43"/>
        <v>1.3113290145020162E-6</v>
      </c>
    </row>
    <row r="82" spans="2:34" x14ac:dyDescent="0.2">
      <c r="B82">
        <v>2.4500000000000002</v>
      </c>
      <c r="C82">
        <v>0.12186704712841985</v>
      </c>
      <c r="D82">
        <v>0.27341602779447671</v>
      </c>
      <c r="E82">
        <v>0.58989905549568533</v>
      </c>
      <c r="F82">
        <v>0</v>
      </c>
      <c r="G82">
        <v>0.13569239718259449</v>
      </c>
      <c r="I82">
        <v>2.4500000000000002</v>
      </c>
      <c r="J82">
        <v>0.12293401335482358</v>
      </c>
      <c r="K82">
        <v>0.26705006248312818</v>
      </c>
      <c r="L82">
        <v>0.59456608635033059</v>
      </c>
      <c r="M82">
        <v>0</v>
      </c>
      <c r="N82">
        <v>0.1374698223653335</v>
      </c>
      <c r="P82" s="7">
        <f t="shared" si="44"/>
        <v>2.4500000000000002</v>
      </c>
      <c r="Q82" s="5">
        <f t="shared" si="45"/>
        <v>0</v>
      </c>
      <c r="R82" s="1">
        <f t="shared" si="54"/>
        <v>0.13658110977396398</v>
      </c>
      <c r="S82">
        <f t="shared" si="46"/>
        <v>8.8871259136950875E-4</v>
      </c>
      <c r="T82" s="1">
        <f t="shared" si="47"/>
        <v>0.27023304513880242</v>
      </c>
      <c r="U82">
        <f t="shared" si="48"/>
        <v>3.1829826556742657E-3</v>
      </c>
      <c r="V82" s="1">
        <f t="shared" si="49"/>
        <v>0.59223257092300796</v>
      </c>
      <c r="W82">
        <f t="shared" si="50"/>
        <v>2.33351542732263E-3</v>
      </c>
      <c r="X82" s="1">
        <f t="shared" si="51"/>
        <v>0</v>
      </c>
      <c r="Y82">
        <f t="shared" si="52"/>
        <v>0</v>
      </c>
      <c r="AA82">
        <f t="shared" si="53"/>
        <v>1.3658110977396399E-2</v>
      </c>
      <c r="AB82">
        <f t="shared" si="43"/>
        <v>8.8871259136950881E-5</v>
      </c>
      <c r="AC82">
        <f t="shared" si="43"/>
        <v>2.7023304513880242E-2</v>
      </c>
      <c r="AD82">
        <f t="shared" si="43"/>
        <v>3.1829826556742662E-4</v>
      </c>
      <c r="AE82">
        <f t="shared" si="43"/>
        <v>5.92232570923008E-2</v>
      </c>
      <c r="AF82">
        <f t="shared" si="43"/>
        <v>2.3335154273226302E-4</v>
      </c>
      <c r="AG82">
        <f t="shared" si="43"/>
        <v>0</v>
      </c>
      <c r="AH82">
        <f t="shared" si="43"/>
        <v>0</v>
      </c>
    </row>
    <row r="83" spans="2:34" x14ac:dyDescent="0.2">
      <c r="B83">
        <v>3.05</v>
      </c>
      <c r="C83">
        <v>0.130039344889744</v>
      </c>
      <c r="D83">
        <v>0.21100107456122441</v>
      </c>
      <c r="E83">
        <v>0.64273578667567566</v>
      </c>
      <c r="F83">
        <v>0</v>
      </c>
      <c r="G83">
        <v>0.14514340533685469</v>
      </c>
      <c r="I83">
        <v>3.0666666666666669</v>
      </c>
      <c r="J83">
        <v>0.2254192552432234</v>
      </c>
      <c r="K83">
        <v>0.3718993938892311</v>
      </c>
      <c r="L83">
        <v>0.37365698776858952</v>
      </c>
      <c r="M83">
        <v>0</v>
      </c>
      <c r="N83">
        <v>0.25258150811669733</v>
      </c>
      <c r="P83" s="7">
        <f t="shared" si="44"/>
        <v>3.0583333333333336</v>
      </c>
      <c r="Q83" s="5">
        <f t="shared" si="45"/>
        <v>8.3333333333335258E-3</v>
      </c>
      <c r="R83" s="1">
        <f t="shared" si="54"/>
        <v>0.19886245672677599</v>
      </c>
      <c r="S83">
        <f t="shared" si="46"/>
        <v>5.3719051389921342E-2</v>
      </c>
      <c r="T83" s="1">
        <f t="shared" si="47"/>
        <v>0.29145023422522776</v>
      </c>
      <c r="U83">
        <f t="shared" si="48"/>
        <v>8.0449159664003317E-2</v>
      </c>
      <c r="V83" s="1">
        <f t="shared" si="49"/>
        <v>0.50819638722213256</v>
      </c>
      <c r="W83">
        <f t="shared" si="50"/>
        <v>0.13453939945354307</v>
      </c>
      <c r="X83" s="1">
        <f t="shared" si="51"/>
        <v>0</v>
      </c>
      <c r="Y83">
        <f t="shared" si="52"/>
        <v>0</v>
      </c>
      <c r="AA83">
        <f t="shared" si="53"/>
        <v>1.9886245672677601E-2</v>
      </c>
      <c r="AB83">
        <f t="shared" si="43"/>
        <v>5.3719051389921344E-3</v>
      </c>
      <c r="AC83">
        <f t="shared" si="43"/>
        <v>2.9145023422522776E-2</v>
      </c>
      <c r="AD83">
        <f t="shared" si="43"/>
        <v>8.0449159664003327E-3</v>
      </c>
      <c r="AE83">
        <f t="shared" si="43"/>
        <v>5.0819638722213262E-2</v>
      </c>
      <c r="AF83">
        <f t="shared" si="43"/>
        <v>1.3453939945354307E-2</v>
      </c>
      <c r="AG83">
        <f t="shared" si="43"/>
        <v>0</v>
      </c>
      <c r="AH83">
        <f t="shared" si="43"/>
        <v>0</v>
      </c>
    </row>
    <row r="84" spans="2:34" x14ac:dyDescent="0.2">
      <c r="B84">
        <v>3.6666666666666665</v>
      </c>
      <c r="C84">
        <v>0.14232204663906189</v>
      </c>
      <c r="D84">
        <v>0.16829914691766404</v>
      </c>
      <c r="E84">
        <v>0.67101008447087163</v>
      </c>
      <c r="F84">
        <v>0</v>
      </c>
      <c r="G84">
        <v>0.15929149312820332</v>
      </c>
      <c r="I84">
        <v>3.6666666666666665</v>
      </c>
      <c r="J84">
        <v>0.13711133299305164</v>
      </c>
      <c r="K84">
        <v>0.16590491384223457</v>
      </c>
      <c r="L84">
        <v>0.67795208291977349</v>
      </c>
      <c r="M84">
        <v>0</v>
      </c>
      <c r="N84">
        <v>0.15460811624491624</v>
      </c>
      <c r="P84" s="7">
        <f t="shared" si="44"/>
        <v>3.6666666666666665</v>
      </c>
      <c r="Q84" s="5">
        <f t="shared" si="45"/>
        <v>0</v>
      </c>
      <c r="R84" s="1">
        <f t="shared" si="54"/>
        <v>0.15694980468655978</v>
      </c>
      <c r="S84">
        <f t="shared" si="46"/>
        <v>2.3416884416435357E-3</v>
      </c>
      <c r="T84" s="1">
        <f t="shared" si="47"/>
        <v>0.16710203037994931</v>
      </c>
      <c r="U84">
        <f t="shared" si="48"/>
        <v>1.1971165377147319E-3</v>
      </c>
      <c r="V84" s="1">
        <f t="shared" si="49"/>
        <v>0.67448108369532256</v>
      </c>
      <c r="W84">
        <f t="shared" si="50"/>
        <v>3.4709992244509325E-3</v>
      </c>
      <c r="X84" s="1">
        <f t="shared" si="51"/>
        <v>0</v>
      </c>
      <c r="Y84">
        <f t="shared" si="52"/>
        <v>0</v>
      </c>
      <c r="AA84">
        <f t="shared" si="53"/>
        <v>1.5694980468655979E-2</v>
      </c>
      <c r="AB84">
        <f t="shared" si="43"/>
        <v>2.3416884416435358E-4</v>
      </c>
      <c r="AC84">
        <f t="shared" si="43"/>
        <v>1.671020303799493E-2</v>
      </c>
      <c r="AD84">
        <f t="shared" si="43"/>
        <v>1.197116537714732E-4</v>
      </c>
      <c r="AE84">
        <f t="shared" si="43"/>
        <v>6.7448108369532259E-2</v>
      </c>
      <c r="AF84">
        <f t="shared" si="43"/>
        <v>3.4709992244509326E-4</v>
      </c>
      <c r="AG84">
        <f t="shared" si="43"/>
        <v>0</v>
      </c>
      <c r="AH84">
        <f t="shared" si="43"/>
        <v>0</v>
      </c>
    </row>
    <row r="85" spans="2:34" x14ac:dyDescent="0.2">
      <c r="B85">
        <v>4.2666666666666666</v>
      </c>
      <c r="C85">
        <v>0.14947985035833808</v>
      </c>
      <c r="D85">
        <v>0.14028319853606827</v>
      </c>
      <c r="E85">
        <v>0.6897401726319432</v>
      </c>
      <c r="F85">
        <v>0</v>
      </c>
      <c r="G85">
        <v>0.16841322255856511</v>
      </c>
      <c r="I85">
        <v>4.2666666666666666</v>
      </c>
      <c r="J85">
        <v>0.1528154493488991</v>
      </c>
      <c r="K85">
        <v>0.13544721096330756</v>
      </c>
      <c r="L85">
        <v>0.69015161755886401</v>
      </c>
      <c r="M85">
        <v>0</v>
      </c>
      <c r="N85">
        <v>0.17267905112505333</v>
      </c>
      <c r="P85" s="7">
        <f t="shared" si="44"/>
        <v>4.2666666666666666</v>
      </c>
      <c r="Q85" s="5">
        <f t="shared" si="45"/>
        <v>0</v>
      </c>
      <c r="R85" s="1">
        <f t="shared" si="54"/>
        <v>0.17054613684180922</v>
      </c>
      <c r="S85">
        <f t="shared" si="46"/>
        <v>2.1329142832441084E-3</v>
      </c>
      <c r="T85" s="1">
        <f t="shared" si="47"/>
        <v>0.13786520474968791</v>
      </c>
      <c r="U85">
        <f t="shared" si="48"/>
        <v>2.4179937863803569E-3</v>
      </c>
      <c r="V85" s="1">
        <f t="shared" si="49"/>
        <v>0.68994589509540361</v>
      </c>
      <c r="W85">
        <f t="shared" si="50"/>
        <v>2.0572246346040046E-4</v>
      </c>
      <c r="X85" s="1">
        <f t="shared" si="51"/>
        <v>0</v>
      </c>
      <c r="Y85">
        <f t="shared" si="52"/>
        <v>0</v>
      </c>
      <c r="AA85">
        <f t="shared" si="53"/>
        <v>1.7054613684180923E-2</v>
      </c>
      <c r="AB85">
        <f t="shared" si="43"/>
        <v>2.1329142832441085E-4</v>
      </c>
      <c r="AC85">
        <f t="shared" si="43"/>
        <v>1.3786520474968792E-2</v>
      </c>
      <c r="AD85">
        <f t="shared" si="43"/>
        <v>2.417993786380357E-4</v>
      </c>
      <c r="AE85">
        <f t="shared" si="43"/>
        <v>6.8994589509540363E-2</v>
      </c>
      <c r="AF85">
        <f t="shared" si="43"/>
        <v>2.0572246346040049E-5</v>
      </c>
      <c r="AG85">
        <f t="shared" si="43"/>
        <v>0</v>
      </c>
      <c r="AH85">
        <f t="shared" si="43"/>
        <v>0</v>
      </c>
    </row>
    <row r="86" spans="2:34" x14ac:dyDescent="0.2">
      <c r="B86">
        <v>4.8666666666666663</v>
      </c>
      <c r="C86">
        <v>0.16174352895902827</v>
      </c>
      <c r="D86">
        <v>0.1185967301378404</v>
      </c>
      <c r="E86">
        <v>0.69678956718129859</v>
      </c>
      <c r="F86">
        <v>0</v>
      </c>
      <c r="G86">
        <v>0.18292119974521731</v>
      </c>
      <c r="I86">
        <v>4.8666666666666663</v>
      </c>
      <c r="J86">
        <v>0.16049626324271177</v>
      </c>
      <c r="K86">
        <v>0.11206568569180356</v>
      </c>
      <c r="L86">
        <v>0.70341358726380199</v>
      </c>
      <c r="M86">
        <v>0</v>
      </c>
      <c r="N86">
        <v>0.18269831974690151</v>
      </c>
      <c r="P86" s="7">
        <f t="shared" si="44"/>
        <v>4.8666666666666663</v>
      </c>
      <c r="Q86" s="5">
        <f t="shared" si="45"/>
        <v>0</v>
      </c>
      <c r="R86" s="1">
        <f t="shared" si="54"/>
        <v>0.1828097597460594</v>
      </c>
      <c r="S86">
        <f t="shared" si="46"/>
        <v>1.1143999915790015E-4</v>
      </c>
      <c r="T86" s="1">
        <f t="shared" si="47"/>
        <v>0.11533120791482199</v>
      </c>
      <c r="U86">
        <f t="shared" si="48"/>
        <v>3.265522223018423E-3</v>
      </c>
      <c r="V86" s="1">
        <f t="shared" si="49"/>
        <v>0.70010157722255029</v>
      </c>
      <c r="W86">
        <f t="shared" si="50"/>
        <v>3.3120100412517006E-3</v>
      </c>
      <c r="X86" s="1">
        <f t="shared" si="51"/>
        <v>0</v>
      </c>
      <c r="Y86">
        <f t="shared" si="52"/>
        <v>0</v>
      </c>
      <c r="AA86">
        <f t="shared" si="53"/>
        <v>1.8280975974605939E-2</v>
      </c>
      <c r="AB86">
        <f t="shared" si="43"/>
        <v>1.1143999915790016E-5</v>
      </c>
      <c r="AC86">
        <f t="shared" si="43"/>
        <v>1.15331207914822E-2</v>
      </c>
      <c r="AD86">
        <f t="shared" si="43"/>
        <v>3.2655222230184233E-4</v>
      </c>
      <c r="AE86">
        <f t="shared" si="43"/>
        <v>7.0010157722255037E-2</v>
      </c>
      <c r="AF86">
        <f t="shared" si="43"/>
        <v>3.3120100412517008E-4</v>
      </c>
      <c r="AG86">
        <f t="shared" si="43"/>
        <v>0</v>
      </c>
      <c r="AH86">
        <f t="shared" si="43"/>
        <v>0</v>
      </c>
    </row>
    <row r="87" spans="2:34" x14ac:dyDescent="0.2">
      <c r="B87">
        <v>5.4666666666666668</v>
      </c>
      <c r="C87">
        <v>0.18059875713854295</v>
      </c>
      <c r="D87">
        <v>0.10326931115594483</v>
      </c>
      <c r="E87">
        <v>0.69047696577906736</v>
      </c>
      <c r="F87">
        <v>0</v>
      </c>
      <c r="G87">
        <v>0.20461511423630607</v>
      </c>
      <c r="I87">
        <v>5.4666666666666668</v>
      </c>
      <c r="J87">
        <v>0.17330338604806211</v>
      </c>
      <c r="K87">
        <v>9.3477417452618922E-2</v>
      </c>
      <c r="L87">
        <v>0.7059060402159536</v>
      </c>
      <c r="M87">
        <v>0</v>
      </c>
      <c r="N87">
        <v>0.19860569345891532</v>
      </c>
      <c r="P87" s="7">
        <f t="shared" si="44"/>
        <v>5.4666666666666668</v>
      </c>
      <c r="Q87" s="5">
        <f t="shared" si="45"/>
        <v>0</v>
      </c>
      <c r="R87" s="1">
        <f t="shared" si="54"/>
        <v>0.2016104038476107</v>
      </c>
      <c r="S87">
        <f t="shared" si="46"/>
        <v>3.0047103886953752E-3</v>
      </c>
      <c r="T87" s="1">
        <f t="shared" si="47"/>
        <v>9.8373364304281868E-2</v>
      </c>
      <c r="U87">
        <f t="shared" si="48"/>
        <v>4.8959468516629537E-3</v>
      </c>
      <c r="V87" s="1">
        <f t="shared" si="49"/>
        <v>0.69819150299751054</v>
      </c>
      <c r="W87">
        <f t="shared" si="50"/>
        <v>7.7145372184431182E-3</v>
      </c>
      <c r="X87" s="1">
        <f t="shared" si="51"/>
        <v>0</v>
      </c>
      <c r="Y87">
        <f t="shared" si="52"/>
        <v>0</v>
      </c>
      <c r="AA87">
        <f t="shared" si="53"/>
        <v>2.0161040384761072E-2</v>
      </c>
      <c r="AB87">
        <f t="shared" si="43"/>
        <v>3.0047103886953754E-4</v>
      </c>
      <c r="AC87">
        <f t="shared" si="43"/>
        <v>9.8373364304281882E-3</v>
      </c>
      <c r="AD87">
        <f t="shared" si="43"/>
        <v>4.8959468516629543E-4</v>
      </c>
      <c r="AE87">
        <f t="shared" si="43"/>
        <v>6.9819150299751054E-2</v>
      </c>
      <c r="AF87">
        <f t="shared" si="43"/>
        <v>7.7145372184431182E-4</v>
      </c>
      <c r="AG87">
        <f t="shared" si="43"/>
        <v>0</v>
      </c>
      <c r="AH87">
        <f t="shared" si="43"/>
        <v>0</v>
      </c>
    </row>
    <row r="88" spans="2:34" x14ac:dyDescent="0.2">
      <c r="B88">
        <v>6.0666666666666664</v>
      </c>
      <c r="C88">
        <v>0.19315047342886157</v>
      </c>
      <c r="D88">
        <v>8.787564220714468E-2</v>
      </c>
      <c r="E88">
        <v>0.69016658519016638</v>
      </c>
      <c r="F88">
        <v>0</v>
      </c>
      <c r="G88">
        <v>0.22000253314116441</v>
      </c>
      <c r="I88">
        <v>6.083333333333333</v>
      </c>
      <c r="J88">
        <v>0.19394958859198028</v>
      </c>
      <c r="K88">
        <v>7.7777923978522706E-2</v>
      </c>
      <c r="L88">
        <v>0.69731674523026765</v>
      </c>
      <c r="M88">
        <v>0</v>
      </c>
      <c r="N88">
        <v>0.22298246923286258</v>
      </c>
      <c r="P88" s="7">
        <f t="shared" si="44"/>
        <v>6.0749999999999993</v>
      </c>
      <c r="Q88" s="5">
        <f t="shared" si="45"/>
        <v>8.3333333333333037E-3</v>
      </c>
      <c r="R88" s="1">
        <f t="shared" si="54"/>
        <v>0.2214925011870135</v>
      </c>
      <c r="S88">
        <f t="shared" si="46"/>
        <v>1.4899680458490827E-3</v>
      </c>
      <c r="T88" s="1">
        <f t="shared" si="47"/>
        <v>8.28267830928337E-2</v>
      </c>
      <c r="U88">
        <f t="shared" si="48"/>
        <v>5.0488591143109871E-3</v>
      </c>
      <c r="V88" s="1">
        <f t="shared" si="49"/>
        <v>0.69374166521021707</v>
      </c>
      <c r="W88">
        <f t="shared" si="50"/>
        <v>3.5750800200506361E-3</v>
      </c>
      <c r="X88" s="1">
        <f t="shared" si="51"/>
        <v>0</v>
      </c>
      <c r="Y88">
        <f t="shared" si="52"/>
        <v>0</v>
      </c>
      <c r="AA88">
        <f t="shared" si="53"/>
        <v>2.214925011870135E-2</v>
      </c>
      <c r="AB88">
        <f t="shared" si="43"/>
        <v>1.4899680458490828E-4</v>
      </c>
      <c r="AC88">
        <f t="shared" si="43"/>
        <v>8.2826783092833697E-3</v>
      </c>
      <c r="AD88">
        <f t="shared" si="43"/>
        <v>5.0488591143109873E-4</v>
      </c>
      <c r="AE88">
        <f t="shared" si="43"/>
        <v>6.9374166521021713E-2</v>
      </c>
      <c r="AF88">
        <f t="shared" si="43"/>
        <v>3.5750800200506363E-4</v>
      </c>
      <c r="AG88">
        <f t="shared" si="43"/>
        <v>0</v>
      </c>
      <c r="AH88">
        <f t="shared" si="43"/>
        <v>0</v>
      </c>
    </row>
    <row r="89" spans="2:34" x14ac:dyDescent="0.2">
      <c r="B89">
        <v>6.6833333333333336</v>
      </c>
      <c r="C89">
        <v>0.20253399903996977</v>
      </c>
      <c r="D89">
        <v>7.9985707691895155E-2</v>
      </c>
      <c r="E89">
        <v>0.68495421874241658</v>
      </c>
      <c r="F89">
        <v>0</v>
      </c>
      <c r="G89">
        <v>0.23304253158946797</v>
      </c>
      <c r="I89">
        <v>6.6833333333333336</v>
      </c>
      <c r="J89">
        <v>0.20806671692269954</v>
      </c>
      <c r="K89">
        <v>6.785145097693461E-2</v>
      </c>
      <c r="L89">
        <v>0.68927233601257443</v>
      </c>
      <c r="M89">
        <v>0</v>
      </c>
      <c r="N89">
        <v>0.24062181859658216</v>
      </c>
      <c r="P89" s="7">
        <f t="shared" si="44"/>
        <v>6.6833333333333336</v>
      </c>
      <c r="Q89" s="5">
        <f t="shared" si="45"/>
        <v>0</v>
      </c>
      <c r="R89" s="1">
        <f t="shared" si="54"/>
        <v>0.23683217509302507</v>
      </c>
      <c r="S89">
        <f t="shared" si="46"/>
        <v>3.7896435035570941E-3</v>
      </c>
      <c r="T89" s="1">
        <f t="shared" si="47"/>
        <v>7.3918579334414883E-2</v>
      </c>
      <c r="U89">
        <f t="shared" si="48"/>
        <v>6.0671283574802726E-3</v>
      </c>
      <c r="V89" s="1">
        <f t="shared" si="49"/>
        <v>0.6871132773774955</v>
      </c>
      <c r="W89">
        <f t="shared" si="50"/>
        <v>2.1590586350789254E-3</v>
      </c>
      <c r="X89" s="1">
        <f t="shared" si="51"/>
        <v>0</v>
      </c>
      <c r="Y89">
        <f t="shared" si="52"/>
        <v>0</v>
      </c>
      <c r="AA89">
        <f t="shared" si="53"/>
        <v>2.3683217509302509E-2</v>
      </c>
      <c r="AB89">
        <f t="shared" si="43"/>
        <v>3.7896435035570942E-4</v>
      </c>
      <c r="AC89">
        <f t="shared" si="43"/>
        <v>7.391857933441489E-3</v>
      </c>
      <c r="AD89">
        <f t="shared" si="43"/>
        <v>6.0671283574802734E-4</v>
      </c>
      <c r="AE89">
        <f t="shared" si="43"/>
        <v>6.8711327737749558E-2</v>
      </c>
      <c r="AF89">
        <f t="shared" si="43"/>
        <v>2.1590586350789254E-4</v>
      </c>
      <c r="AG89">
        <f t="shared" si="43"/>
        <v>0</v>
      </c>
      <c r="AH89">
        <f t="shared" si="43"/>
        <v>0</v>
      </c>
    </row>
    <row r="90" spans="2:34" x14ac:dyDescent="0.2">
      <c r="B90">
        <v>7.2833333333333332</v>
      </c>
      <c r="C90">
        <v>0.22071486970388896</v>
      </c>
      <c r="D90">
        <v>7.2216821970159481E-2</v>
      </c>
      <c r="E90">
        <v>0.67032259285022888</v>
      </c>
      <c r="F90">
        <v>0</v>
      </c>
      <c r="G90">
        <v>0.25541982747809489</v>
      </c>
      <c r="I90">
        <v>7.2833333333333332</v>
      </c>
      <c r="J90">
        <v>0.22035897165967216</v>
      </c>
      <c r="K90">
        <v>5.9383644627717683E-2</v>
      </c>
      <c r="L90">
        <v>0.68218638371747187</v>
      </c>
      <c r="M90">
        <v>0</v>
      </c>
      <c r="N90">
        <v>0.25617443807724949</v>
      </c>
      <c r="P90" s="7">
        <f t="shared" si="44"/>
        <v>7.2833333333333332</v>
      </c>
      <c r="Q90" s="5">
        <f t="shared" si="45"/>
        <v>0</v>
      </c>
      <c r="R90" s="1">
        <f t="shared" si="54"/>
        <v>0.25579713277767219</v>
      </c>
      <c r="S90">
        <f t="shared" si="46"/>
        <v>3.7730529957730186E-4</v>
      </c>
      <c r="T90" s="1">
        <f t="shared" si="47"/>
        <v>6.5800233298938582E-2</v>
      </c>
      <c r="U90">
        <f t="shared" si="48"/>
        <v>6.4165886712208992E-3</v>
      </c>
      <c r="V90" s="1">
        <f t="shared" si="49"/>
        <v>0.67625448828385037</v>
      </c>
      <c r="W90">
        <f t="shared" si="50"/>
        <v>5.9318954336214924E-3</v>
      </c>
      <c r="X90" s="1">
        <f t="shared" si="51"/>
        <v>0</v>
      </c>
      <c r="Y90">
        <f t="shared" si="52"/>
        <v>0</v>
      </c>
      <c r="AA90">
        <f t="shared" si="53"/>
        <v>2.5579713277767219E-2</v>
      </c>
      <c r="AB90">
        <f t="shared" si="43"/>
        <v>3.7730529957730186E-5</v>
      </c>
      <c r="AC90">
        <f t="shared" si="43"/>
        <v>6.5800233298938587E-3</v>
      </c>
      <c r="AD90">
        <f t="shared" si="43"/>
        <v>6.4165886712208998E-4</v>
      </c>
      <c r="AE90">
        <f t="shared" si="43"/>
        <v>6.7625448828385046E-2</v>
      </c>
      <c r="AF90">
        <f t="shared" si="43"/>
        <v>5.9318954336214926E-4</v>
      </c>
      <c r="AG90">
        <f t="shared" si="43"/>
        <v>0</v>
      </c>
      <c r="AH90">
        <f t="shared" si="43"/>
        <v>0</v>
      </c>
    </row>
    <row r="91" spans="2:34" x14ac:dyDescent="0.2">
      <c r="B91">
        <v>7.8833333333333337</v>
      </c>
      <c r="C91">
        <v>0.23931022886167735</v>
      </c>
      <c r="D91">
        <v>6.6257037980032824E-2</v>
      </c>
      <c r="E91">
        <v>0.65534324734458715</v>
      </c>
      <c r="F91">
        <v>0</v>
      </c>
      <c r="G91">
        <v>0.27633443126750384</v>
      </c>
      <c r="I91">
        <v>7.8833333333333337</v>
      </c>
      <c r="J91">
        <v>0.23286206989645325</v>
      </c>
      <c r="K91">
        <v>5.2158135280644995E-2</v>
      </c>
      <c r="L91">
        <v>0.67360637659454559</v>
      </c>
      <c r="M91">
        <v>0</v>
      </c>
      <c r="N91">
        <v>0.27173842562484324</v>
      </c>
      <c r="P91" s="7">
        <f t="shared" si="44"/>
        <v>7.8833333333333337</v>
      </c>
      <c r="Q91" s="5">
        <f t="shared" si="45"/>
        <v>0</v>
      </c>
      <c r="R91" s="1">
        <f t="shared" si="54"/>
        <v>0.27403642844617354</v>
      </c>
      <c r="S91">
        <f t="shared" si="46"/>
        <v>2.2980028213303028E-3</v>
      </c>
      <c r="T91" s="1">
        <f t="shared" si="47"/>
        <v>5.9207586630338913E-2</v>
      </c>
      <c r="U91">
        <f t="shared" si="48"/>
        <v>7.0494513496939144E-3</v>
      </c>
      <c r="V91" s="1">
        <f t="shared" si="49"/>
        <v>0.66447481196956637</v>
      </c>
      <c r="W91">
        <f t="shared" si="50"/>
        <v>9.1315646249792159E-3</v>
      </c>
      <c r="X91" s="1">
        <f t="shared" si="51"/>
        <v>0</v>
      </c>
      <c r="Y91">
        <f t="shared" si="52"/>
        <v>0</v>
      </c>
      <c r="AA91">
        <f t="shared" si="53"/>
        <v>2.7403642844617354E-2</v>
      </c>
      <c r="AB91">
        <f t="shared" si="43"/>
        <v>2.2980028213303029E-4</v>
      </c>
      <c r="AC91">
        <f t="shared" si="43"/>
        <v>5.9207586630338916E-3</v>
      </c>
      <c r="AD91">
        <f t="shared" si="43"/>
        <v>7.0494513496939146E-4</v>
      </c>
      <c r="AE91">
        <f t="shared" si="43"/>
        <v>6.6447481196956634E-2</v>
      </c>
      <c r="AF91">
        <f t="shared" si="43"/>
        <v>9.1315646249792162E-4</v>
      </c>
      <c r="AG91">
        <f t="shared" si="43"/>
        <v>0</v>
      </c>
      <c r="AH91">
        <f t="shared" si="43"/>
        <v>0</v>
      </c>
    </row>
    <row r="92" spans="2:34" x14ac:dyDescent="0.2">
      <c r="B92">
        <v>8.4833333333333325</v>
      </c>
      <c r="C92">
        <v>0.24747472154121763</v>
      </c>
      <c r="D92">
        <v>6.0593250841778565E-2</v>
      </c>
      <c r="E92">
        <v>0.64867421476762011</v>
      </c>
      <c r="F92">
        <v>0</v>
      </c>
      <c r="G92">
        <v>0.28835594754559357</v>
      </c>
      <c r="I92">
        <v>8.4833333333333325</v>
      </c>
      <c r="J92">
        <v>0.25635866789329437</v>
      </c>
      <c r="K92">
        <v>4.5343021112725486E-2</v>
      </c>
      <c r="L92">
        <v>0.65279443481961741</v>
      </c>
      <c r="M92">
        <v>0</v>
      </c>
      <c r="N92">
        <v>0.29920885279672321</v>
      </c>
      <c r="P92" s="7">
        <f t="shared" si="44"/>
        <v>8.4833333333333325</v>
      </c>
      <c r="Q92" s="5">
        <f t="shared" si="45"/>
        <v>0</v>
      </c>
      <c r="R92" s="1">
        <f t="shared" si="54"/>
        <v>0.29378240017115842</v>
      </c>
      <c r="S92">
        <f t="shared" si="46"/>
        <v>5.4264526255648204E-3</v>
      </c>
      <c r="T92" s="1">
        <f t="shared" si="47"/>
        <v>5.2968135977252029E-2</v>
      </c>
      <c r="U92">
        <f t="shared" si="48"/>
        <v>7.6251148645265056E-3</v>
      </c>
      <c r="V92" s="1">
        <f t="shared" si="49"/>
        <v>0.65073432479361881</v>
      </c>
      <c r="W92">
        <f t="shared" si="50"/>
        <v>2.0601100259986516E-3</v>
      </c>
      <c r="X92" s="1">
        <f t="shared" si="51"/>
        <v>0</v>
      </c>
      <c r="Y92">
        <f t="shared" si="52"/>
        <v>0</v>
      </c>
      <c r="AA92">
        <f t="shared" si="53"/>
        <v>2.9378240017115843E-2</v>
      </c>
      <c r="AB92">
        <f t="shared" si="43"/>
        <v>5.4264526255648211E-4</v>
      </c>
      <c r="AC92">
        <f t="shared" si="43"/>
        <v>5.2968135977252036E-3</v>
      </c>
      <c r="AD92">
        <f t="shared" si="43"/>
        <v>7.6251148645265063E-4</v>
      </c>
      <c r="AE92">
        <f t="shared" si="43"/>
        <v>6.5073432479361884E-2</v>
      </c>
      <c r="AF92">
        <f t="shared" si="43"/>
        <v>2.0601100259986518E-4</v>
      </c>
      <c r="AG92">
        <f t="shared" si="43"/>
        <v>0</v>
      </c>
      <c r="AH92">
        <f t="shared" si="43"/>
        <v>0</v>
      </c>
    </row>
    <row r="93" spans="2:34" x14ac:dyDescent="0.2">
      <c r="B93">
        <v>9.0833333333333339</v>
      </c>
      <c r="C93">
        <v>0.26250938051727607</v>
      </c>
      <c r="D93">
        <v>5.4788485640043717E-2</v>
      </c>
      <c r="E93">
        <v>0.63592124147416462</v>
      </c>
      <c r="F93">
        <v>0</v>
      </c>
      <c r="G93">
        <v>0.30690856224880486</v>
      </c>
      <c r="I93">
        <v>9.0833333333333339</v>
      </c>
      <c r="J93">
        <v>0.26723600264117531</v>
      </c>
      <c r="K93">
        <v>4.0701509792974044E-2</v>
      </c>
      <c r="L93">
        <v>0.64197487904056527</v>
      </c>
      <c r="M93">
        <v>0</v>
      </c>
      <c r="N93">
        <v>0.31455988534231094</v>
      </c>
      <c r="P93" s="7">
        <f t="shared" si="44"/>
        <v>9.0833333333333339</v>
      </c>
      <c r="Q93" s="5">
        <f t="shared" si="45"/>
        <v>0</v>
      </c>
      <c r="R93" s="1">
        <f t="shared" si="54"/>
        <v>0.31073422379555793</v>
      </c>
      <c r="S93">
        <f t="shared" si="46"/>
        <v>3.8256615467530397E-3</v>
      </c>
      <c r="T93" s="1">
        <f t="shared" si="47"/>
        <v>4.7744997716508877E-2</v>
      </c>
      <c r="U93">
        <f t="shared" si="48"/>
        <v>7.0434879235348321E-3</v>
      </c>
      <c r="V93" s="1">
        <f t="shared" si="49"/>
        <v>0.63894806025736495</v>
      </c>
      <c r="W93">
        <f t="shared" si="50"/>
        <v>3.0268187832003246E-3</v>
      </c>
      <c r="X93" s="1">
        <f t="shared" si="51"/>
        <v>0</v>
      </c>
      <c r="Y93">
        <f t="shared" si="52"/>
        <v>0</v>
      </c>
      <c r="AA93">
        <f t="shared" si="53"/>
        <v>3.1073422379555793E-2</v>
      </c>
      <c r="AB93">
        <f t="shared" si="43"/>
        <v>3.8256615467530401E-4</v>
      </c>
      <c r="AC93">
        <f t="shared" si="43"/>
        <v>4.7744997716508879E-3</v>
      </c>
      <c r="AD93">
        <f t="shared" si="43"/>
        <v>7.0434879235348321E-4</v>
      </c>
      <c r="AE93">
        <f t="shared" si="43"/>
        <v>6.3894806025736495E-2</v>
      </c>
      <c r="AF93">
        <f t="shared" si="43"/>
        <v>3.0268187832003249E-4</v>
      </c>
      <c r="AG93">
        <f t="shared" si="43"/>
        <v>0</v>
      </c>
      <c r="AH93">
        <f t="shared" si="43"/>
        <v>0</v>
      </c>
    </row>
    <row r="94" spans="2:34" x14ac:dyDescent="0.2">
      <c r="B94">
        <v>9.6999999999999993</v>
      </c>
      <c r="C94">
        <v>0.28033725969257606</v>
      </c>
      <c r="D94">
        <v>5.0607909009586588E-2</v>
      </c>
      <c r="E94">
        <v>0.61913207934860404</v>
      </c>
      <c r="F94">
        <v>0</v>
      </c>
      <c r="G94">
        <v>0.32783723854170677</v>
      </c>
      <c r="I94">
        <v>9.6999999999999993</v>
      </c>
      <c r="J94">
        <v>0.28153646388672582</v>
      </c>
      <c r="K94">
        <v>3.5556787963501951E-2</v>
      </c>
      <c r="L94">
        <v>0.6289241410291595</v>
      </c>
      <c r="M94">
        <v>0</v>
      </c>
      <c r="N94">
        <v>0.33279427580202903</v>
      </c>
      <c r="P94" s="7">
        <f t="shared" si="44"/>
        <v>9.6999999999999993</v>
      </c>
      <c r="Q94" s="5">
        <f t="shared" si="45"/>
        <v>0</v>
      </c>
      <c r="R94" s="1">
        <f t="shared" si="54"/>
        <v>0.3303157571718679</v>
      </c>
      <c r="S94">
        <f t="shared" si="46"/>
        <v>2.4785186301611306E-3</v>
      </c>
      <c r="T94" s="1">
        <f t="shared" si="47"/>
        <v>4.308234848654427E-2</v>
      </c>
      <c r="U94">
        <f t="shared" si="48"/>
        <v>7.5255605230423218E-3</v>
      </c>
      <c r="V94" s="1">
        <f t="shared" si="49"/>
        <v>0.62402811018888182</v>
      </c>
      <c r="W94">
        <f t="shared" si="50"/>
        <v>4.8960308402777319E-3</v>
      </c>
      <c r="X94" s="1">
        <f t="shared" si="51"/>
        <v>0</v>
      </c>
      <c r="Y94">
        <f t="shared" si="52"/>
        <v>0</v>
      </c>
      <c r="AA94">
        <f t="shared" si="53"/>
        <v>3.303157571718679E-2</v>
      </c>
      <c r="AB94">
        <f t="shared" si="53"/>
        <v>2.4785186301611305E-4</v>
      </c>
      <c r="AC94">
        <f t="shared" si="53"/>
        <v>4.3082348486544273E-3</v>
      </c>
      <c r="AD94">
        <f t="shared" si="53"/>
        <v>7.5255605230423227E-4</v>
      </c>
      <c r="AE94">
        <f t="shared" si="53"/>
        <v>6.2402811018888185E-2</v>
      </c>
      <c r="AF94">
        <f t="shared" si="53"/>
        <v>4.8960308402777326E-4</v>
      </c>
      <c r="AG94">
        <f t="shared" si="53"/>
        <v>0</v>
      </c>
      <c r="AH94">
        <f t="shared" si="53"/>
        <v>0</v>
      </c>
    </row>
    <row r="95" spans="2:34" x14ac:dyDescent="0.2">
      <c r="B95">
        <v>10.3</v>
      </c>
      <c r="C95">
        <v>0.2936039940684359</v>
      </c>
      <c r="D95">
        <v>4.7457739013688119E-2</v>
      </c>
      <c r="E95">
        <v>0.6036100685546848</v>
      </c>
      <c r="F95">
        <v>0</v>
      </c>
      <c r="G95">
        <v>0.34651956265095568</v>
      </c>
      <c r="I95">
        <v>10.3</v>
      </c>
      <c r="J95">
        <v>0.29817723391095907</v>
      </c>
      <c r="K95">
        <v>3.1613908840203785E-2</v>
      </c>
      <c r="L95">
        <v>0.61035880355048711</v>
      </c>
      <c r="M95">
        <v>0</v>
      </c>
      <c r="N95">
        <v>0.35517265039650658</v>
      </c>
      <c r="P95" s="7">
        <f t="shared" si="44"/>
        <v>10.3</v>
      </c>
      <c r="Q95" s="5">
        <f t="shared" si="45"/>
        <v>0</v>
      </c>
      <c r="R95" s="1">
        <f t="shared" si="54"/>
        <v>0.35084610652373116</v>
      </c>
      <c r="S95">
        <f t="shared" si="46"/>
        <v>4.3265438727754513E-3</v>
      </c>
      <c r="T95" s="1">
        <f t="shared" si="47"/>
        <v>3.9535823926945948E-2</v>
      </c>
      <c r="U95">
        <f t="shared" si="48"/>
        <v>7.9219150867421879E-3</v>
      </c>
      <c r="V95" s="1">
        <f t="shared" si="49"/>
        <v>0.60698443605258601</v>
      </c>
      <c r="W95">
        <f t="shared" si="50"/>
        <v>3.374367497901154E-3</v>
      </c>
      <c r="X95" s="1">
        <f t="shared" si="51"/>
        <v>0</v>
      </c>
      <c r="Y95">
        <f t="shared" si="52"/>
        <v>0</v>
      </c>
      <c r="AA95">
        <f t="shared" ref="AA95:AH104" si="55">R95*0.1</f>
        <v>3.5084610652373116E-2</v>
      </c>
      <c r="AB95">
        <f t="shared" si="55"/>
        <v>4.3265438727754514E-4</v>
      </c>
      <c r="AC95">
        <f t="shared" si="55"/>
        <v>3.9535823926945953E-3</v>
      </c>
      <c r="AD95">
        <f t="shared" si="55"/>
        <v>7.9219150867421888E-4</v>
      </c>
      <c r="AE95">
        <f t="shared" si="55"/>
        <v>6.0698443605258605E-2</v>
      </c>
      <c r="AF95">
        <f t="shared" si="55"/>
        <v>3.374367497901154E-4</v>
      </c>
      <c r="AG95">
        <f t="shared" si="55"/>
        <v>0</v>
      </c>
      <c r="AH95">
        <f t="shared" si="55"/>
        <v>0</v>
      </c>
    </row>
    <row r="96" spans="2:34" x14ac:dyDescent="0.2">
      <c r="B96">
        <v>10.9</v>
      </c>
      <c r="C96">
        <v>0.31179680311335561</v>
      </c>
      <c r="D96">
        <v>4.1366516824812509E-2</v>
      </c>
      <c r="E96">
        <v>0.58618151240186001</v>
      </c>
      <c r="F96">
        <v>0</v>
      </c>
      <c r="G96">
        <v>0.37017109383890268</v>
      </c>
      <c r="I96">
        <v>10.9</v>
      </c>
      <c r="J96">
        <v>0.31132504185187287</v>
      </c>
      <c r="K96">
        <v>2.859574757094208E-2</v>
      </c>
      <c r="L96">
        <v>0.59771471994780889</v>
      </c>
      <c r="M96">
        <v>0</v>
      </c>
      <c r="N96">
        <v>0.37092598701748603</v>
      </c>
      <c r="P96" s="7">
        <f t="shared" si="44"/>
        <v>10.9</v>
      </c>
      <c r="Q96" s="5">
        <f t="shared" si="45"/>
        <v>0</v>
      </c>
      <c r="R96" s="1">
        <f t="shared" si="54"/>
        <v>0.37054854042819435</v>
      </c>
      <c r="S96">
        <f t="shared" si="46"/>
        <v>3.7744658929167452E-4</v>
      </c>
      <c r="T96" s="1">
        <f t="shared" si="47"/>
        <v>3.4981132197877296E-2</v>
      </c>
      <c r="U96">
        <f t="shared" si="48"/>
        <v>6.3853846269351974E-3</v>
      </c>
      <c r="V96" s="1">
        <f t="shared" si="49"/>
        <v>0.59194811617483445</v>
      </c>
      <c r="W96">
        <f t="shared" si="50"/>
        <v>5.7666037729744435E-3</v>
      </c>
      <c r="X96" s="1">
        <f t="shared" si="51"/>
        <v>0</v>
      </c>
      <c r="Y96">
        <f t="shared" si="52"/>
        <v>0</v>
      </c>
      <c r="AA96">
        <f t="shared" si="55"/>
        <v>3.7054854042819434E-2</v>
      </c>
      <c r="AB96">
        <f t="shared" si="55"/>
        <v>3.7744658929167452E-5</v>
      </c>
      <c r="AC96">
        <f t="shared" si="55"/>
        <v>3.4981132197877299E-3</v>
      </c>
      <c r="AD96">
        <f t="shared" si="55"/>
        <v>6.385384626935198E-4</v>
      </c>
      <c r="AE96">
        <f t="shared" si="55"/>
        <v>5.9194811617483446E-2</v>
      </c>
      <c r="AF96">
        <f t="shared" si="55"/>
        <v>5.7666037729744437E-4</v>
      </c>
      <c r="AG96">
        <f t="shared" si="55"/>
        <v>0</v>
      </c>
      <c r="AH96">
        <f t="shared" si="55"/>
        <v>0</v>
      </c>
    </row>
    <row r="97" spans="2:34" x14ac:dyDescent="0.2">
      <c r="B97">
        <v>11.5</v>
      </c>
      <c r="C97">
        <v>0.32602096395320146</v>
      </c>
      <c r="D97">
        <v>3.8865389938062551E-2</v>
      </c>
      <c r="E97">
        <v>0.57050735937230923</v>
      </c>
      <c r="F97">
        <v>0</v>
      </c>
      <c r="G97">
        <v>0.38829116777523226</v>
      </c>
      <c r="I97">
        <v>11.5</v>
      </c>
      <c r="J97">
        <v>0.32377810711532434</v>
      </c>
      <c r="K97">
        <v>2.5480040946914875E-2</v>
      </c>
      <c r="L97">
        <v>0.58379630135590255</v>
      </c>
      <c r="M97">
        <v>0</v>
      </c>
      <c r="N97">
        <v>0.38784926111655377</v>
      </c>
      <c r="P97" s="7">
        <f t="shared" si="44"/>
        <v>11.5</v>
      </c>
      <c r="Q97" s="5">
        <f t="shared" si="45"/>
        <v>0</v>
      </c>
      <c r="R97" s="1">
        <f t="shared" si="54"/>
        <v>0.38807021444589301</v>
      </c>
      <c r="S97">
        <f t="shared" si="46"/>
        <v>2.2095332933924627E-4</v>
      </c>
      <c r="T97" s="1">
        <f t="shared" si="47"/>
        <v>3.2172715442488717E-2</v>
      </c>
      <c r="U97">
        <f t="shared" si="48"/>
        <v>6.6926744955738207E-3</v>
      </c>
      <c r="V97" s="1">
        <f t="shared" si="49"/>
        <v>0.57715183036410589</v>
      </c>
      <c r="W97">
        <f t="shared" si="50"/>
        <v>6.6444709917966582E-3</v>
      </c>
      <c r="X97" s="1">
        <f t="shared" si="51"/>
        <v>0</v>
      </c>
      <c r="Y97">
        <f t="shared" si="52"/>
        <v>0</v>
      </c>
      <c r="AA97">
        <f t="shared" si="55"/>
        <v>3.8807021444589307E-2</v>
      </c>
      <c r="AB97">
        <f t="shared" si="55"/>
        <v>2.2095332933924629E-5</v>
      </c>
      <c r="AC97">
        <f t="shared" si="55"/>
        <v>3.2172715442488719E-3</v>
      </c>
      <c r="AD97">
        <f t="shared" si="55"/>
        <v>6.6926744955738207E-4</v>
      </c>
      <c r="AE97">
        <f t="shared" si="55"/>
        <v>5.7715183036410593E-2</v>
      </c>
      <c r="AF97">
        <f t="shared" si="55"/>
        <v>6.6444709917966587E-4</v>
      </c>
      <c r="AG97">
        <f t="shared" si="55"/>
        <v>0</v>
      </c>
      <c r="AH97">
        <f t="shared" si="55"/>
        <v>0</v>
      </c>
    </row>
    <row r="98" spans="2:34" x14ac:dyDescent="0.2">
      <c r="B98">
        <v>12.1</v>
      </c>
      <c r="C98">
        <v>0.33895223087248344</v>
      </c>
      <c r="D98">
        <v>3.6814516507258775E-2</v>
      </c>
      <c r="E98">
        <v>0.55458163367974844</v>
      </c>
      <c r="F98">
        <v>0</v>
      </c>
      <c r="G98">
        <v>0.4062112975063889</v>
      </c>
      <c r="I98">
        <v>12.1</v>
      </c>
      <c r="J98">
        <v>0.34248917224778275</v>
      </c>
      <c r="K98">
        <v>2.2192647902242835E-2</v>
      </c>
      <c r="L98">
        <v>0.56331804245541151</v>
      </c>
      <c r="M98">
        <v>0</v>
      </c>
      <c r="N98">
        <v>0.41181170313671844</v>
      </c>
      <c r="P98" s="7">
        <f t="shared" si="44"/>
        <v>12.1</v>
      </c>
      <c r="Q98" s="5">
        <f t="shared" si="45"/>
        <v>0</v>
      </c>
      <c r="R98" s="1">
        <f t="shared" si="54"/>
        <v>0.40901150032155364</v>
      </c>
      <c r="S98">
        <f t="shared" si="46"/>
        <v>2.8002028151647707E-3</v>
      </c>
      <c r="T98" s="1">
        <f t="shared" si="47"/>
        <v>2.9503582204750807E-2</v>
      </c>
      <c r="U98">
        <f t="shared" si="48"/>
        <v>7.310934302507963E-3</v>
      </c>
      <c r="V98" s="1">
        <f t="shared" si="49"/>
        <v>0.55894983806757992</v>
      </c>
      <c r="W98">
        <f t="shared" si="50"/>
        <v>4.3682043878315313E-3</v>
      </c>
      <c r="X98" s="1">
        <f t="shared" si="51"/>
        <v>0</v>
      </c>
      <c r="Y98">
        <f t="shared" si="52"/>
        <v>0</v>
      </c>
      <c r="AA98">
        <f t="shared" si="55"/>
        <v>4.0901150032155366E-2</v>
      </c>
      <c r="AB98">
        <f t="shared" si="55"/>
        <v>2.8002028151647709E-4</v>
      </c>
      <c r="AC98">
        <f t="shared" si="55"/>
        <v>2.950358220475081E-3</v>
      </c>
      <c r="AD98">
        <f t="shared" si="55"/>
        <v>7.310934302507963E-4</v>
      </c>
      <c r="AE98">
        <f t="shared" si="55"/>
        <v>5.5894983806757996E-2</v>
      </c>
      <c r="AF98">
        <f t="shared" si="55"/>
        <v>4.3682043878315313E-4</v>
      </c>
      <c r="AG98">
        <f t="shared" si="55"/>
        <v>0</v>
      </c>
      <c r="AH98">
        <f t="shared" si="55"/>
        <v>0</v>
      </c>
    </row>
    <row r="99" spans="2:34" x14ac:dyDescent="0.2">
      <c r="B99">
        <v>16.016666666666666</v>
      </c>
      <c r="C99">
        <v>0.40759078930947867</v>
      </c>
      <c r="D99">
        <v>2.3658836606394472E-2</v>
      </c>
      <c r="E99">
        <v>0.47162139965138883</v>
      </c>
      <c r="F99">
        <v>0</v>
      </c>
      <c r="G99">
        <v>0.50237727601309889</v>
      </c>
      <c r="I99">
        <v>16.016666666666666</v>
      </c>
      <c r="J99">
        <v>0.41950122736874124</v>
      </c>
      <c r="K99">
        <v>1.084004896946089E-2</v>
      </c>
      <c r="L99">
        <v>0.46784127822399763</v>
      </c>
      <c r="M99">
        <v>0</v>
      </c>
      <c r="N99">
        <v>0.51882112477190268</v>
      </c>
      <c r="P99" s="7">
        <f t="shared" si="44"/>
        <v>16.016666666666666</v>
      </c>
      <c r="Q99" s="5">
        <f t="shared" si="45"/>
        <v>0</v>
      </c>
      <c r="R99" s="1">
        <f t="shared" si="54"/>
        <v>0.51059920039250084</v>
      </c>
      <c r="S99">
        <f t="shared" si="46"/>
        <v>8.2219243794018904E-3</v>
      </c>
      <c r="T99" s="1">
        <f t="shared" si="47"/>
        <v>1.7249442787927682E-2</v>
      </c>
      <c r="U99">
        <f t="shared" si="48"/>
        <v>6.4093938184667867E-3</v>
      </c>
      <c r="V99" s="1">
        <f t="shared" si="49"/>
        <v>0.46973133893769325</v>
      </c>
      <c r="W99">
        <f t="shared" si="50"/>
        <v>1.8900607136956016E-3</v>
      </c>
      <c r="X99" s="1">
        <f t="shared" si="51"/>
        <v>0</v>
      </c>
      <c r="Y99">
        <f t="shared" si="52"/>
        <v>0</v>
      </c>
      <c r="AA99">
        <f t="shared" si="55"/>
        <v>5.1059920039250084E-2</v>
      </c>
      <c r="AB99">
        <f t="shared" si="55"/>
        <v>8.2219243794018912E-4</v>
      </c>
      <c r="AC99">
        <f t="shared" si="55"/>
        <v>1.7249442787927683E-3</v>
      </c>
      <c r="AD99">
        <f t="shared" si="55"/>
        <v>6.4093938184667872E-4</v>
      </c>
      <c r="AE99">
        <f t="shared" si="55"/>
        <v>4.697313389376933E-2</v>
      </c>
      <c r="AF99">
        <f t="shared" si="55"/>
        <v>1.8900607136956016E-4</v>
      </c>
      <c r="AG99">
        <f t="shared" si="55"/>
        <v>0</v>
      </c>
      <c r="AH99">
        <f t="shared" si="55"/>
        <v>0</v>
      </c>
    </row>
    <row r="100" spans="2:34" x14ac:dyDescent="0.2">
      <c r="B100">
        <v>22.05</v>
      </c>
      <c r="C100">
        <v>0.50783126780792609</v>
      </c>
      <c r="D100">
        <v>9.3238913718344425E-3</v>
      </c>
      <c r="E100">
        <v>0.34235376150221974</v>
      </c>
      <c r="F100">
        <v>0</v>
      </c>
      <c r="G100">
        <v>0.64650390202818553</v>
      </c>
      <c r="I100">
        <v>22.05</v>
      </c>
      <c r="J100">
        <v>0.51051362449639759</v>
      </c>
      <c r="K100">
        <v>2.7898025696589299E-3</v>
      </c>
      <c r="L100">
        <v>0.34061688181181271</v>
      </c>
      <c r="M100">
        <v>0</v>
      </c>
      <c r="N100">
        <v>0.65444139692704772</v>
      </c>
      <c r="P100" s="7">
        <f t="shared" si="44"/>
        <v>22.05</v>
      </c>
      <c r="Q100" s="5">
        <f t="shared" si="45"/>
        <v>0</v>
      </c>
      <c r="R100" s="1">
        <f t="shared" si="54"/>
        <v>0.65047264947761663</v>
      </c>
      <c r="S100">
        <f t="shared" si="46"/>
        <v>3.9687474494310981E-3</v>
      </c>
      <c r="T100" s="1">
        <f t="shared" si="47"/>
        <v>6.0568469707466864E-3</v>
      </c>
      <c r="U100">
        <f t="shared" si="48"/>
        <v>3.2670444010877557E-3</v>
      </c>
      <c r="V100" s="1">
        <f t="shared" si="49"/>
        <v>0.34148532165701623</v>
      </c>
      <c r="W100">
        <f t="shared" si="50"/>
        <v>8.6843984520351691E-4</v>
      </c>
      <c r="X100" s="1">
        <f t="shared" si="51"/>
        <v>0</v>
      </c>
      <c r="Y100">
        <f t="shared" si="52"/>
        <v>0</v>
      </c>
      <c r="AA100">
        <f t="shared" si="55"/>
        <v>6.5047264947761668E-2</v>
      </c>
      <c r="AB100">
        <f t="shared" si="55"/>
        <v>3.9687474494310982E-4</v>
      </c>
      <c r="AC100">
        <f t="shared" si="55"/>
        <v>6.0568469707466871E-4</v>
      </c>
      <c r="AD100">
        <f t="shared" si="55"/>
        <v>3.2670444010877558E-4</v>
      </c>
      <c r="AE100">
        <f t="shared" si="55"/>
        <v>3.4148532165701621E-2</v>
      </c>
      <c r="AF100">
        <f t="shared" si="55"/>
        <v>8.6843984520351699E-5</v>
      </c>
      <c r="AG100">
        <f t="shared" si="55"/>
        <v>0</v>
      </c>
      <c r="AH100">
        <f t="shared" si="55"/>
        <v>0</v>
      </c>
    </row>
    <row r="101" spans="2:34" x14ac:dyDescent="0.2">
      <c r="B101">
        <v>36.549999999999997</v>
      </c>
      <c r="C101">
        <v>0.56611476767013702</v>
      </c>
      <c r="D101">
        <v>8.0235584780855929E-4</v>
      </c>
      <c r="E101">
        <v>0.19124381951392863</v>
      </c>
      <c r="F101">
        <v>0</v>
      </c>
      <c r="G101">
        <v>0.8067895424416468</v>
      </c>
      <c r="I101">
        <v>36.549999999999997</v>
      </c>
      <c r="J101">
        <v>0.5776710070953015</v>
      </c>
      <c r="K101">
        <v>1.342736726577855E-4</v>
      </c>
      <c r="L101">
        <v>0.18088397100754966</v>
      </c>
      <c r="M101">
        <v>0</v>
      </c>
      <c r="N101">
        <v>0.81764970430261896</v>
      </c>
      <c r="P101" s="7">
        <f t="shared" si="44"/>
        <v>36.549999999999997</v>
      </c>
      <c r="Q101" s="5">
        <f t="shared" si="45"/>
        <v>0</v>
      </c>
      <c r="R101" s="1">
        <f t="shared" si="54"/>
        <v>0.81221962337213283</v>
      </c>
      <c r="S101">
        <f t="shared" si="46"/>
        <v>5.4300809304860809E-3</v>
      </c>
      <c r="T101" s="1">
        <f t="shared" si="47"/>
        <v>4.6831476023317237E-4</v>
      </c>
      <c r="U101">
        <f t="shared" si="48"/>
        <v>3.3404108757538687E-4</v>
      </c>
      <c r="V101" s="1">
        <f t="shared" si="49"/>
        <v>0.18606389526073913</v>
      </c>
      <c r="W101">
        <f t="shared" si="50"/>
        <v>5.1799242531894857E-3</v>
      </c>
      <c r="X101" s="1">
        <f t="shared" si="51"/>
        <v>0</v>
      </c>
      <c r="Y101">
        <f t="shared" si="52"/>
        <v>0</v>
      </c>
      <c r="AA101">
        <f t="shared" si="55"/>
        <v>8.1221962337213294E-2</v>
      </c>
      <c r="AB101">
        <f t="shared" si="55"/>
        <v>5.4300809304860809E-4</v>
      </c>
      <c r="AC101">
        <f t="shared" si="55"/>
        <v>4.683147602331724E-5</v>
      </c>
      <c r="AD101">
        <f t="shared" si="55"/>
        <v>3.3404108757538688E-5</v>
      </c>
      <c r="AE101">
        <f t="shared" si="55"/>
        <v>1.8606389526073915E-2</v>
      </c>
      <c r="AF101">
        <f t="shared" si="55"/>
        <v>5.1799242531894857E-4</v>
      </c>
      <c r="AG101">
        <f t="shared" si="55"/>
        <v>0</v>
      </c>
      <c r="AH101">
        <f t="shared" si="55"/>
        <v>0</v>
      </c>
    </row>
    <row r="102" spans="2:34" x14ac:dyDescent="0.2">
      <c r="B102">
        <v>40.43333333333333</v>
      </c>
      <c r="C102">
        <v>0.56382912647062577</v>
      </c>
      <c r="D102">
        <v>4.5248952738903553E-4</v>
      </c>
      <c r="E102">
        <v>0.1684431360927163</v>
      </c>
      <c r="F102">
        <v>0</v>
      </c>
      <c r="G102">
        <v>0.83013255045040202</v>
      </c>
      <c r="I102">
        <v>40.43333333333333</v>
      </c>
      <c r="J102">
        <v>0.57490299707266534</v>
      </c>
      <c r="K102">
        <v>0</v>
      </c>
      <c r="L102">
        <v>0.15760560254560124</v>
      </c>
      <c r="M102">
        <v>0</v>
      </c>
      <c r="N102">
        <v>0.84124570169519353</v>
      </c>
      <c r="P102" s="7">
        <f t="shared" si="44"/>
        <v>40.43333333333333</v>
      </c>
      <c r="Q102" s="5">
        <f t="shared" si="45"/>
        <v>0</v>
      </c>
      <c r="R102" s="1">
        <f t="shared" si="54"/>
        <v>0.83568912607279777</v>
      </c>
      <c r="S102">
        <f t="shared" si="46"/>
        <v>5.5565756223957541E-3</v>
      </c>
      <c r="T102" s="1">
        <f t="shared" si="47"/>
        <v>2.2624476369451776E-4</v>
      </c>
      <c r="U102">
        <f t="shared" si="48"/>
        <v>2.2624476369451776E-4</v>
      </c>
      <c r="V102" s="1">
        <f t="shared" si="49"/>
        <v>0.16302436931915876</v>
      </c>
      <c r="W102">
        <f t="shared" si="50"/>
        <v>5.418766773557529E-3</v>
      </c>
      <c r="X102" s="1">
        <f t="shared" si="51"/>
        <v>0</v>
      </c>
      <c r="Y102">
        <f t="shared" si="52"/>
        <v>0</v>
      </c>
      <c r="AA102">
        <f t="shared" si="55"/>
        <v>8.3568912607279777E-2</v>
      </c>
      <c r="AB102">
        <f t="shared" si="55"/>
        <v>5.5565756223957541E-4</v>
      </c>
      <c r="AC102">
        <f t="shared" si="55"/>
        <v>2.2624476369451778E-5</v>
      </c>
      <c r="AD102">
        <f t="shared" si="55"/>
        <v>2.2624476369451778E-5</v>
      </c>
      <c r="AE102">
        <f t="shared" si="55"/>
        <v>1.6302436931915878E-2</v>
      </c>
      <c r="AF102">
        <f t="shared" si="55"/>
        <v>5.4187667735575292E-4</v>
      </c>
      <c r="AG102">
        <f t="shared" si="55"/>
        <v>0</v>
      </c>
      <c r="AH102">
        <f t="shared" si="55"/>
        <v>0</v>
      </c>
    </row>
    <row r="103" spans="2:34" x14ac:dyDescent="0.2">
      <c r="B103">
        <v>46.466666666666669</v>
      </c>
      <c r="C103">
        <v>0.55132615199164781</v>
      </c>
      <c r="D103">
        <v>1.6035679776133879E-4</v>
      </c>
      <c r="E103">
        <v>0.14524895128472656</v>
      </c>
      <c r="F103">
        <v>0</v>
      </c>
      <c r="G103">
        <v>0.85373611226693091</v>
      </c>
      <c r="I103">
        <v>46.466666666666669</v>
      </c>
      <c r="J103">
        <v>0.56062294000513935</v>
      </c>
      <c r="K103">
        <v>0</v>
      </c>
      <c r="L103">
        <v>0.13705342248559729</v>
      </c>
      <c r="M103">
        <v>0</v>
      </c>
      <c r="N103">
        <v>0.86206313786669986</v>
      </c>
      <c r="P103" s="7">
        <f t="shared" si="44"/>
        <v>46.466666666666669</v>
      </c>
      <c r="Q103" s="5">
        <f t="shared" si="45"/>
        <v>0</v>
      </c>
      <c r="R103" s="1">
        <f t="shared" si="54"/>
        <v>0.85789962506681539</v>
      </c>
      <c r="S103">
        <f t="shared" si="46"/>
        <v>4.1635127998844723E-3</v>
      </c>
      <c r="T103" s="1">
        <f t="shared" si="47"/>
        <v>8.0178398880669397E-5</v>
      </c>
      <c r="U103">
        <f t="shared" si="48"/>
        <v>8.0178398880669397E-5</v>
      </c>
      <c r="V103" s="1">
        <f t="shared" si="49"/>
        <v>0.14115118688516193</v>
      </c>
      <c r="W103">
        <f t="shared" si="50"/>
        <v>4.0977643995646351E-3</v>
      </c>
      <c r="X103" s="1">
        <f t="shared" si="51"/>
        <v>0</v>
      </c>
      <c r="Y103">
        <f t="shared" si="52"/>
        <v>0</v>
      </c>
      <c r="AA103">
        <f t="shared" si="55"/>
        <v>8.5789962506681541E-2</v>
      </c>
      <c r="AB103">
        <f t="shared" si="55"/>
        <v>4.1635127998844727E-4</v>
      </c>
      <c r="AC103">
        <f t="shared" si="55"/>
        <v>8.0178398880669397E-6</v>
      </c>
      <c r="AD103">
        <f t="shared" si="55"/>
        <v>8.0178398880669397E-6</v>
      </c>
      <c r="AE103">
        <f t="shared" si="55"/>
        <v>1.4115118688516193E-2</v>
      </c>
      <c r="AF103">
        <f t="shared" si="55"/>
        <v>4.0977643995646356E-4</v>
      </c>
      <c r="AG103">
        <f t="shared" si="55"/>
        <v>0</v>
      </c>
      <c r="AH103">
        <f t="shared" si="55"/>
        <v>0</v>
      </c>
    </row>
    <row r="104" spans="2:34" x14ac:dyDescent="0.2">
      <c r="B104">
        <v>60.65</v>
      </c>
      <c r="C104">
        <v>0.50198540523546942</v>
      </c>
      <c r="D104">
        <v>0</v>
      </c>
      <c r="E104">
        <v>0.12531293081636863</v>
      </c>
      <c r="F104">
        <v>0</v>
      </c>
      <c r="G104">
        <v>0.87423457310950392</v>
      </c>
      <c r="I104">
        <v>60.666666666666664</v>
      </c>
      <c r="J104">
        <v>0.50878972655753074</v>
      </c>
      <c r="K104">
        <v>0</v>
      </c>
      <c r="L104">
        <v>0.11509285441099787</v>
      </c>
      <c r="M104">
        <v>0</v>
      </c>
      <c r="N104">
        <v>0.88433501978703799</v>
      </c>
      <c r="P104" s="7">
        <f t="shared" si="44"/>
        <v>60.658333333333331</v>
      </c>
      <c r="Q104" s="5">
        <f t="shared" si="45"/>
        <v>8.3333333333328596E-3</v>
      </c>
      <c r="R104" s="1">
        <f t="shared" si="54"/>
        <v>0.87928479644827096</v>
      </c>
      <c r="S104">
        <f t="shared" si="46"/>
        <v>5.0502233387670348E-3</v>
      </c>
      <c r="T104" s="1">
        <f t="shared" si="47"/>
        <v>0</v>
      </c>
      <c r="U104">
        <f t="shared" si="48"/>
        <v>0</v>
      </c>
      <c r="V104" s="1">
        <f t="shared" si="49"/>
        <v>0.12020289261368325</v>
      </c>
      <c r="W104">
        <f t="shared" si="50"/>
        <v>5.1100382026853797E-3</v>
      </c>
      <c r="X104" s="1">
        <f t="shared" si="51"/>
        <v>0</v>
      </c>
      <c r="Y104">
        <f t="shared" si="52"/>
        <v>0</v>
      </c>
      <c r="AA104">
        <f t="shared" si="55"/>
        <v>8.7928479644827098E-2</v>
      </c>
      <c r="AB104">
        <f t="shared" si="55"/>
        <v>5.0502233387670346E-4</v>
      </c>
      <c r="AC104">
        <f t="shared" si="55"/>
        <v>0</v>
      </c>
      <c r="AD104">
        <f t="shared" si="55"/>
        <v>0</v>
      </c>
      <c r="AE104">
        <f t="shared" si="55"/>
        <v>1.2020289261368326E-2</v>
      </c>
      <c r="AF104">
        <f t="shared" si="55"/>
        <v>5.1100382026853799E-4</v>
      </c>
      <c r="AG104">
        <f t="shared" si="55"/>
        <v>0</v>
      </c>
      <c r="AH104">
        <f t="shared" si="55"/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5"/>
  <sheetViews>
    <sheetView workbookViewId="0">
      <selection activeCell="A4" sqref="A4"/>
    </sheetView>
  </sheetViews>
  <sheetFormatPr baseColWidth="10" defaultColWidth="10.6640625" defaultRowHeight="15" x14ac:dyDescent="0.2"/>
  <sheetData>
    <row r="2" spans="1:6" x14ac:dyDescent="0.2">
      <c r="B2">
        <v>409.5471</v>
      </c>
      <c r="C2">
        <v>3</v>
      </c>
      <c r="D2" t="s">
        <v>5</v>
      </c>
    </row>
    <row r="3" spans="1:6" x14ac:dyDescent="0.2">
      <c r="A3" t="s">
        <v>6</v>
      </c>
      <c r="B3">
        <v>399.87869999999998</v>
      </c>
      <c r="C3">
        <v>3</v>
      </c>
      <c r="E3">
        <v>1196.6121000000001</v>
      </c>
      <c r="F3">
        <f>E3-97.9769</f>
        <v>1098.6352000000002</v>
      </c>
    </row>
    <row r="4" spans="1:6" x14ac:dyDescent="0.2">
      <c r="A4" t="s">
        <v>6</v>
      </c>
      <c r="B4">
        <v>403.87090000000001</v>
      </c>
      <c r="C4">
        <v>3</v>
      </c>
    </row>
    <row r="5" spans="1:6" x14ac:dyDescent="0.2">
      <c r="B5">
        <v>628.28800000000001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AS239C</vt:lpstr>
      <vt:lpstr>AS239AB</vt:lpstr>
      <vt:lpstr>all data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2025-02-04T21:37:07Z</dcterms:modified>
</cp:coreProperties>
</file>