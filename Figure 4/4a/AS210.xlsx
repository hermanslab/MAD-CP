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16440" yWindow="3563" windowWidth="30915" windowHeight="17475" activeTab="2"/>
  </bookViews>
  <sheets>
    <sheet name="AS210BC" sheetId="1" r:id="rId1"/>
    <sheet name="AS210A" sheetId="5" r:id="rId2"/>
    <sheet name="data summary" sheetId="7" r:id="rId3"/>
    <sheet name="Feuil3" sheetId="3" r:id="rId4"/>
    <sheet name="as210c-csv" sheetId="6" r:id="rId5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" i="7" l="1"/>
  <c r="K103" i="7"/>
  <c r="L103" i="7"/>
  <c r="M103" i="7"/>
  <c r="N103" i="7"/>
  <c r="J104" i="7"/>
  <c r="K104" i="7"/>
  <c r="L104" i="7"/>
  <c r="M104" i="7"/>
  <c r="N104" i="7"/>
  <c r="J105" i="7"/>
  <c r="K105" i="7"/>
  <c r="L105" i="7"/>
  <c r="M105" i="7"/>
  <c r="N105" i="7"/>
  <c r="J106" i="7"/>
  <c r="K106" i="7"/>
  <c r="L106" i="7"/>
  <c r="M106" i="7"/>
  <c r="N106" i="7"/>
  <c r="J107" i="7"/>
  <c r="K107" i="7"/>
  <c r="L107" i="7"/>
  <c r="M107" i="7"/>
  <c r="N107" i="7"/>
  <c r="J108" i="7"/>
  <c r="K108" i="7"/>
  <c r="L108" i="7"/>
  <c r="M108" i="7"/>
  <c r="N108" i="7"/>
  <c r="J109" i="7"/>
  <c r="K109" i="7"/>
  <c r="L109" i="7"/>
  <c r="M109" i="7"/>
  <c r="N109" i="7"/>
  <c r="J110" i="7"/>
  <c r="K110" i="7"/>
  <c r="L110" i="7"/>
  <c r="M110" i="7"/>
  <c r="N110" i="7"/>
  <c r="J111" i="7"/>
  <c r="K111" i="7"/>
  <c r="L111" i="7"/>
  <c r="M111" i="7"/>
  <c r="N111" i="7"/>
  <c r="J112" i="7"/>
  <c r="K112" i="7"/>
  <c r="L112" i="7"/>
  <c r="M112" i="7"/>
  <c r="N112" i="7"/>
  <c r="J113" i="7"/>
  <c r="K113" i="7"/>
  <c r="L113" i="7"/>
  <c r="M113" i="7"/>
  <c r="N113" i="7"/>
  <c r="J114" i="7"/>
  <c r="K114" i="7"/>
  <c r="L114" i="7"/>
  <c r="M114" i="7"/>
  <c r="N114" i="7"/>
  <c r="J115" i="7"/>
  <c r="K115" i="7"/>
  <c r="L115" i="7"/>
  <c r="M115" i="7"/>
  <c r="N115" i="7"/>
  <c r="J116" i="7"/>
  <c r="K116" i="7"/>
  <c r="L116" i="7"/>
  <c r="M116" i="7"/>
  <c r="N116" i="7"/>
  <c r="J117" i="7"/>
  <c r="K117" i="7"/>
  <c r="L117" i="7"/>
  <c r="M117" i="7"/>
  <c r="N117" i="7"/>
  <c r="J118" i="7"/>
  <c r="K118" i="7"/>
  <c r="L118" i="7"/>
  <c r="M118" i="7"/>
  <c r="N118" i="7"/>
  <c r="J119" i="7"/>
  <c r="K119" i="7"/>
  <c r="L119" i="7"/>
  <c r="M119" i="7"/>
  <c r="N119" i="7"/>
  <c r="J120" i="7"/>
  <c r="K120" i="7"/>
  <c r="L120" i="7"/>
  <c r="M120" i="7"/>
  <c r="N120" i="7"/>
  <c r="J121" i="7"/>
  <c r="K121" i="7"/>
  <c r="L121" i="7"/>
  <c r="M121" i="7"/>
  <c r="N121" i="7"/>
  <c r="J122" i="7"/>
  <c r="K122" i="7"/>
  <c r="L122" i="7"/>
  <c r="M122" i="7"/>
  <c r="N122" i="7"/>
  <c r="J123" i="7"/>
  <c r="K123" i="7"/>
  <c r="L123" i="7"/>
  <c r="M123" i="7"/>
  <c r="N123" i="7"/>
  <c r="J124" i="7"/>
  <c r="K124" i="7"/>
  <c r="L124" i="7"/>
  <c r="M124" i="7"/>
  <c r="N124" i="7"/>
  <c r="J125" i="7"/>
  <c r="K125" i="7"/>
  <c r="L125" i="7"/>
  <c r="M125" i="7"/>
  <c r="N125" i="7"/>
  <c r="J126" i="7"/>
  <c r="K126" i="7"/>
  <c r="L126" i="7"/>
  <c r="M126" i="7"/>
  <c r="N126" i="7"/>
  <c r="J127" i="7"/>
  <c r="K127" i="7"/>
  <c r="L127" i="7"/>
  <c r="M127" i="7"/>
  <c r="N127" i="7"/>
  <c r="J128" i="7"/>
  <c r="K128" i="7"/>
  <c r="L128" i="7"/>
  <c r="M128" i="7"/>
  <c r="N128" i="7"/>
  <c r="K102" i="7"/>
  <c r="L102" i="7"/>
  <c r="M102" i="7"/>
  <c r="N102" i="7"/>
  <c r="J102" i="7"/>
  <c r="AG125" i="1"/>
  <c r="AG80" i="1"/>
  <c r="AG126" i="1"/>
  <c r="AG122" i="1"/>
  <c r="AG123" i="1"/>
  <c r="AG124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21" i="1"/>
  <c r="AG76" i="1"/>
  <c r="R72" i="7" l="1"/>
  <c r="S72" i="7"/>
  <c r="T72" i="7"/>
  <c r="U72" i="7"/>
  <c r="V72" i="7"/>
  <c r="W72" i="7"/>
  <c r="X72" i="7"/>
  <c r="Y72" i="7"/>
  <c r="AA72" i="7"/>
  <c r="AB72" i="7"/>
  <c r="AC72" i="7"/>
  <c r="AD72" i="7"/>
  <c r="AE72" i="7"/>
  <c r="AF72" i="7"/>
  <c r="AG72" i="7"/>
  <c r="AH72" i="7"/>
  <c r="R73" i="7"/>
  <c r="S73" i="7"/>
  <c r="T73" i="7"/>
  <c r="U73" i="7"/>
  <c r="V73" i="7"/>
  <c r="W73" i="7"/>
  <c r="X73" i="7"/>
  <c r="Y73" i="7"/>
  <c r="AA73" i="7"/>
  <c r="AB73" i="7"/>
  <c r="AC73" i="7"/>
  <c r="AD73" i="7"/>
  <c r="AE73" i="7"/>
  <c r="AF73" i="7"/>
  <c r="AG73" i="7"/>
  <c r="AH73" i="7"/>
  <c r="R74" i="7"/>
  <c r="S74" i="7"/>
  <c r="T74" i="7"/>
  <c r="U74" i="7"/>
  <c r="V74" i="7"/>
  <c r="W74" i="7"/>
  <c r="X74" i="7"/>
  <c r="Y74" i="7"/>
  <c r="AA74" i="7"/>
  <c r="AB74" i="7"/>
  <c r="AC74" i="7"/>
  <c r="AD74" i="7"/>
  <c r="AE74" i="7"/>
  <c r="AF74" i="7"/>
  <c r="AG74" i="7"/>
  <c r="AH74" i="7"/>
  <c r="R75" i="7"/>
  <c r="S75" i="7"/>
  <c r="T75" i="7"/>
  <c r="U75" i="7"/>
  <c r="V75" i="7"/>
  <c r="W75" i="7"/>
  <c r="X75" i="7"/>
  <c r="Y75" i="7"/>
  <c r="AA75" i="7"/>
  <c r="AB75" i="7"/>
  <c r="AC75" i="7"/>
  <c r="AD75" i="7"/>
  <c r="AE75" i="7"/>
  <c r="AF75" i="7"/>
  <c r="AG75" i="7"/>
  <c r="AH75" i="7"/>
  <c r="R76" i="7"/>
  <c r="S76" i="7"/>
  <c r="T76" i="7"/>
  <c r="U76" i="7"/>
  <c r="V76" i="7"/>
  <c r="W76" i="7"/>
  <c r="X76" i="7"/>
  <c r="Y76" i="7"/>
  <c r="AA76" i="7"/>
  <c r="AB76" i="7"/>
  <c r="AC76" i="7"/>
  <c r="AD76" i="7"/>
  <c r="AE76" i="7"/>
  <c r="AF76" i="7"/>
  <c r="AG76" i="7"/>
  <c r="AH76" i="7"/>
  <c r="R77" i="7"/>
  <c r="S77" i="7"/>
  <c r="T77" i="7"/>
  <c r="U77" i="7"/>
  <c r="V77" i="7"/>
  <c r="W77" i="7"/>
  <c r="X77" i="7"/>
  <c r="Y77" i="7"/>
  <c r="AA77" i="7"/>
  <c r="AB77" i="7"/>
  <c r="AC77" i="7"/>
  <c r="AD77" i="7"/>
  <c r="AE77" i="7"/>
  <c r="AF77" i="7"/>
  <c r="AG77" i="7"/>
  <c r="AH77" i="7"/>
  <c r="R78" i="7"/>
  <c r="S78" i="7"/>
  <c r="T78" i="7"/>
  <c r="U78" i="7"/>
  <c r="V78" i="7"/>
  <c r="W78" i="7"/>
  <c r="X78" i="7"/>
  <c r="Y78" i="7"/>
  <c r="AA78" i="7"/>
  <c r="AB78" i="7"/>
  <c r="AC78" i="7"/>
  <c r="AD78" i="7"/>
  <c r="AE78" i="7"/>
  <c r="AF78" i="7"/>
  <c r="AG78" i="7"/>
  <c r="AH78" i="7"/>
  <c r="R79" i="7"/>
  <c r="S79" i="7"/>
  <c r="T79" i="7"/>
  <c r="U79" i="7"/>
  <c r="V79" i="7"/>
  <c r="W79" i="7"/>
  <c r="X79" i="7"/>
  <c r="Y79" i="7"/>
  <c r="AA79" i="7"/>
  <c r="AB79" i="7"/>
  <c r="AC79" i="7"/>
  <c r="AD79" i="7"/>
  <c r="AE79" i="7"/>
  <c r="AF79" i="7"/>
  <c r="AG79" i="7"/>
  <c r="AH79" i="7"/>
  <c r="R80" i="7"/>
  <c r="S80" i="7"/>
  <c r="T80" i="7"/>
  <c r="U80" i="7"/>
  <c r="V80" i="7"/>
  <c r="W80" i="7"/>
  <c r="X80" i="7"/>
  <c r="Y80" i="7"/>
  <c r="AA80" i="7"/>
  <c r="AB80" i="7"/>
  <c r="AC80" i="7"/>
  <c r="AD80" i="7"/>
  <c r="AE80" i="7"/>
  <c r="AF80" i="7"/>
  <c r="AG80" i="7"/>
  <c r="AH80" i="7"/>
  <c r="R81" i="7"/>
  <c r="S81" i="7"/>
  <c r="T81" i="7"/>
  <c r="U81" i="7"/>
  <c r="V81" i="7"/>
  <c r="W81" i="7"/>
  <c r="X81" i="7"/>
  <c r="Y81" i="7"/>
  <c r="AA81" i="7"/>
  <c r="AB81" i="7"/>
  <c r="AC81" i="7"/>
  <c r="AD81" i="7"/>
  <c r="AE81" i="7"/>
  <c r="AF81" i="7"/>
  <c r="AG81" i="7"/>
  <c r="AH81" i="7"/>
  <c r="R82" i="7"/>
  <c r="S82" i="7"/>
  <c r="T82" i="7"/>
  <c r="U82" i="7"/>
  <c r="V82" i="7"/>
  <c r="W82" i="7"/>
  <c r="X82" i="7"/>
  <c r="Y82" i="7"/>
  <c r="AA82" i="7"/>
  <c r="AB82" i="7"/>
  <c r="AC82" i="7"/>
  <c r="AD82" i="7"/>
  <c r="AE82" i="7"/>
  <c r="AF82" i="7"/>
  <c r="AG82" i="7"/>
  <c r="AH82" i="7"/>
  <c r="R83" i="7"/>
  <c r="S83" i="7"/>
  <c r="T83" i="7"/>
  <c r="U83" i="7"/>
  <c r="V83" i="7"/>
  <c r="W83" i="7"/>
  <c r="X83" i="7"/>
  <c r="Y83" i="7"/>
  <c r="AA83" i="7"/>
  <c r="AB83" i="7"/>
  <c r="AC83" i="7"/>
  <c r="AD83" i="7"/>
  <c r="AE83" i="7"/>
  <c r="AF83" i="7"/>
  <c r="AG83" i="7"/>
  <c r="AH83" i="7"/>
  <c r="R84" i="7"/>
  <c r="S84" i="7"/>
  <c r="T84" i="7"/>
  <c r="U84" i="7"/>
  <c r="V84" i="7"/>
  <c r="W84" i="7"/>
  <c r="X84" i="7"/>
  <c r="Y84" i="7"/>
  <c r="AA84" i="7"/>
  <c r="AB84" i="7"/>
  <c r="AC84" i="7"/>
  <c r="AD84" i="7"/>
  <c r="AE84" i="7"/>
  <c r="AF84" i="7"/>
  <c r="AG84" i="7"/>
  <c r="AH84" i="7"/>
  <c r="R85" i="7"/>
  <c r="S85" i="7"/>
  <c r="T85" i="7"/>
  <c r="U85" i="7"/>
  <c r="V85" i="7"/>
  <c r="W85" i="7"/>
  <c r="X85" i="7"/>
  <c r="Y85" i="7"/>
  <c r="AA85" i="7"/>
  <c r="AB85" i="7"/>
  <c r="AC85" i="7"/>
  <c r="AD85" i="7"/>
  <c r="AE85" i="7"/>
  <c r="AF85" i="7"/>
  <c r="AG85" i="7"/>
  <c r="AH85" i="7"/>
  <c r="R86" i="7"/>
  <c r="S86" i="7"/>
  <c r="T86" i="7"/>
  <c r="U86" i="7"/>
  <c r="V86" i="7"/>
  <c r="W86" i="7"/>
  <c r="X86" i="7"/>
  <c r="Y86" i="7"/>
  <c r="AA86" i="7"/>
  <c r="AB86" i="7"/>
  <c r="AC86" i="7"/>
  <c r="AD86" i="7"/>
  <c r="AE86" i="7"/>
  <c r="AF86" i="7"/>
  <c r="AG86" i="7"/>
  <c r="AH86" i="7"/>
  <c r="R87" i="7"/>
  <c r="S87" i="7"/>
  <c r="T87" i="7"/>
  <c r="U87" i="7"/>
  <c r="V87" i="7"/>
  <c r="W87" i="7"/>
  <c r="X87" i="7"/>
  <c r="Y87" i="7"/>
  <c r="AA87" i="7"/>
  <c r="AB87" i="7"/>
  <c r="AC87" i="7"/>
  <c r="AD87" i="7"/>
  <c r="AE87" i="7"/>
  <c r="AF87" i="7"/>
  <c r="AG87" i="7"/>
  <c r="AH87" i="7"/>
  <c r="R88" i="7"/>
  <c r="S88" i="7"/>
  <c r="T88" i="7"/>
  <c r="U88" i="7"/>
  <c r="V88" i="7"/>
  <c r="W88" i="7"/>
  <c r="X88" i="7"/>
  <c r="Y88" i="7"/>
  <c r="AA88" i="7"/>
  <c r="AB88" i="7"/>
  <c r="AC88" i="7"/>
  <c r="AD88" i="7"/>
  <c r="AE88" i="7"/>
  <c r="AF88" i="7"/>
  <c r="AG88" i="7"/>
  <c r="AH88" i="7"/>
  <c r="R89" i="7"/>
  <c r="S89" i="7"/>
  <c r="T89" i="7"/>
  <c r="U89" i="7"/>
  <c r="V89" i="7"/>
  <c r="W89" i="7"/>
  <c r="X89" i="7"/>
  <c r="Y89" i="7"/>
  <c r="AA89" i="7"/>
  <c r="AB89" i="7"/>
  <c r="AC89" i="7"/>
  <c r="AD89" i="7"/>
  <c r="AE89" i="7"/>
  <c r="AF89" i="7"/>
  <c r="AG89" i="7"/>
  <c r="AH89" i="7"/>
  <c r="R90" i="7"/>
  <c r="S90" i="7"/>
  <c r="T90" i="7"/>
  <c r="U90" i="7"/>
  <c r="V90" i="7"/>
  <c r="W90" i="7"/>
  <c r="X90" i="7"/>
  <c r="Y90" i="7"/>
  <c r="AA90" i="7"/>
  <c r="AB90" i="7"/>
  <c r="AC90" i="7"/>
  <c r="AD90" i="7"/>
  <c r="AE90" i="7"/>
  <c r="AF90" i="7"/>
  <c r="AG90" i="7"/>
  <c r="AH90" i="7"/>
  <c r="R91" i="7"/>
  <c r="S91" i="7"/>
  <c r="T91" i="7"/>
  <c r="U91" i="7"/>
  <c r="V91" i="7"/>
  <c r="W91" i="7"/>
  <c r="X91" i="7"/>
  <c r="Y91" i="7"/>
  <c r="AA91" i="7"/>
  <c r="AB91" i="7"/>
  <c r="AC91" i="7"/>
  <c r="AD91" i="7"/>
  <c r="AE91" i="7"/>
  <c r="AF91" i="7"/>
  <c r="AG91" i="7"/>
  <c r="AH91" i="7"/>
  <c r="R92" i="7"/>
  <c r="S92" i="7"/>
  <c r="T92" i="7"/>
  <c r="U92" i="7"/>
  <c r="V92" i="7"/>
  <c r="W92" i="7"/>
  <c r="X92" i="7"/>
  <c r="Y92" i="7"/>
  <c r="AA92" i="7"/>
  <c r="AB92" i="7"/>
  <c r="AC92" i="7"/>
  <c r="AD92" i="7"/>
  <c r="AE92" i="7"/>
  <c r="AF92" i="7"/>
  <c r="AG92" i="7"/>
  <c r="AH92" i="7"/>
  <c r="R93" i="7"/>
  <c r="S93" i="7"/>
  <c r="T93" i="7"/>
  <c r="U93" i="7"/>
  <c r="V93" i="7"/>
  <c r="W93" i="7"/>
  <c r="X93" i="7"/>
  <c r="Y93" i="7"/>
  <c r="AA93" i="7"/>
  <c r="AB93" i="7"/>
  <c r="AC93" i="7"/>
  <c r="AD93" i="7"/>
  <c r="AE93" i="7"/>
  <c r="AF93" i="7"/>
  <c r="AG93" i="7"/>
  <c r="AH93" i="7"/>
  <c r="R94" i="7"/>
  <c r="S94" i="7"/>
  <c r="T94" i="7"/>
  <c r="U94" i="7"/>
  <c r="V94" i="7"/>
  <c r="W94" i="7"/>
  <c r="X94" i="7"/>
  <c r="Y94" i="7"/>
  <c r="AA94" i="7"/>
  <c r="AB94" i="7"/>
  <c r="AC94" i="7"/>
  <c r="AD94" i="7"/>
  <c r="AE94" i="7"/>
  <c r="AF94" i="7"/>
  <c r="AG94" i="7"/>
  <c r="AH94" i="7"/>
  <c r="R95" i="7"/>
  <c r="S95" i="7"/>
  <c r="T95" i="7"/>
  <c r="U95" i="7"/>
  <c r="V95" i="7"/>
  <c r="W95" i="7"/>
  <c r="X95" i="7"/>
  <c r="Y95" i="7"/>
  <c r="AA95" i="7"/>
  <c r="AB95" i="7"/>
  <c r="AC95" i="7"/>
  <c r="AD95" i="7"/>
  <c r="AE95" i="7"/>
  <c r="AF95" i="7"/>
  <c r="AG95" i="7"/>
  <c r="AH95" i="7"/>
  <c r="R96" i="7"/>
  <c r="S96" i="7"/>
  <c r="T96" i="7"/>
  <c r="U96" i="7"/>
  <c r="V96" i="7"/>
  <c r="W96" i="7"/>
  <c r="X96" i="7"/>
  <c r="Y96" i="7"/>
  <c r="AA96" i="7"/>
  <c r="AB96" i="7"/>
  <c r="AC96" i="7"/>
  <c r="AD96" i="7"/>
  <c r="AE96" i="7"/>
  <c r="AF96" i="7"/>
  <c r="AG96" i="7"/>
  <c r="AH96" i="7"/>
  <c r="Y71" i="7"/>
  <c r="AH71" i="7" s="1"/>
  <c r="X71" i="7"/>
  <c r="AG71" i="7" s="1"/>
  <c r="W71" i="7"/>
  <c r="AF71" i="7" s="1"/>
  <c r="V71" i="7"/>
  <c r="AE71" i="7" s="1"/>
  <c r="U71" i="7"/>
  <c r="AD71" i="7" s="1"/>
  <c r="T71" i="7"/>
  <c r="AC71" i="7" s="1"/>
  <c r="S71" i="7"/>
  <c r="AB71" i="7" s="1"/>
  <c r="R71" i="7"/>
  <c r="AA71" i="7" s="1"/>
  <c r="AH70" i="7"/>
  <c r="AG70" i="7"/>
  <c r="AF70" i="7"/>
  <c r="AE70" i="7"/>
  <c r="AD70" i="7"/>
  <c r="AC70" i="7"/>
  <c r="AB70" i="7"/>
  <c r="AA70" i="7"/>
  <c r="Y70" i="7"/>
  <c r="X70" i="7"/>
  <c r="W70" i="7"/>
  <c r="V70" i="7"/>
  <c r="U70" i="7"/>
  <c r="T70" i="7"/>
  <c r="S70" i="7"/>
  <c r="R70" i="7"/>
  <c r="AA38" i="7"/>
  <c r="AB38" i="7"/>
  <c r="AC38" i="7"/>
  <c r="AD38" i="7"/>
  <c r="AE38" i="7"/>
  <c r="AF38" i="7"/>
  <c r="AG38" i="7"/>
  <c r="AH38" i="7"/>
  <c r="AA39" i="7"/>
  <c r="AB39" i="7"/>
  <c r="AC39" i="7"/>
  <c r="AD39" i="7"/>
  <c r="AE39" i="7"/>
  <c r="AF39" i="7"/>
  <c r="AG39" i="7"/>
  <c r="AH39" i="7"/>
  <c r="AA40" i="7"/>
  <c r="AB40" i="7"/>
  <c r="AC40" i="7"/>
  <c r="AD40" i="7"/>
  <c r="AE40" i="7"/>
  <c r="AF40" i="7"/>
  <c r="AG40" i="7"/>
  <c r="AH40" i="7"/>
  <c r="AA41" i="7"/>
  <c r="AB41" i="7"/>
  <c r="AC41" i="7"/>
  <c r="AD41" i="7"/>
  <c r="AE41" i="7"/>
  <c r="AF41" i="7"/>
  <c r="AG41" i="7"/>
  <c r="AH41" i="7"/>
  <c r="AA42" i="7"/>
  <c r="AB42" i="7"/>
  <c r="AC42" i="7"/>
  <c r="AD42" i="7"/>
  <c r="AE42" i="7"/>
  <c r="AF42" i="7"/>
  <c r="AG42" i="7"/>
  <c r="AH42" i="7"/>
  <c r="AA43" i="7"/>
  <c r="AB43" i="7"/>
  <c r="AC43" i="7"/>
  <c r="AD43" i="7"/>
  <c r="AE43" i="7"/>
  <c r="AF43" i="7"/>
  <c r="AG43" i="7"/>
  <c r="AH43" i="7"/>
  <c r="AA44" i="7"/>
  <c r="AB44" i="7"/>
  <c r="AC44" i="7"/>
  <c r="AD44" i="7"/>
  <c r="AE44" i="7"/>
  <c r="AF44" i="7"/>
  <c r="AG44" i="7"/>
  <c r="AH44" i="7"/>
  <c r="AA45" i="7"/>
  <c r="AB45" i="7"/>
  <c r="AC45" i="7"/>
  <c r="AD45" i="7"/>
  <c r="AE45" i="7"/>
  <c r="AF45" i="7"/>
  <c r="AG45" i="7"/>
  <c r="AH45" i="7"/>
  <c r="AA46" i="7"/>
  <c r="AB46" i="7"/>
  <c r="AC46" i="7"/>
  <c r="AD46" i="7"/>
  <c r="AE46" i="7"/>
  <c r="AF46" i="7"/>
  <c r="AG46" i="7"/>
  <c r="AH46" i="7"/>
  <c r="AA47" i="7"/>
  <c r="AB47" i="7"/>
  <c r="AC47" i="7"/>
  <c r="AD47" i="7"/>
  <c r="AE47" i="7"/>
  <c r="AF47" i="7"/>
  <c r="AG47" i="7"/>
  <c r="AH47" i="7"/>
  <c r="AA48" i="7"/>
  <c r="AB48" i="7"/>
  <c r="AC48" i="7"/>
  <c r="AD48" i="7"/>
  <c r="AE48" i="7"/>
  <c r="AF48" i="7"/>
  <c r="AG48" i="7"/>
  <c r="AH48" i="7"/>
  <c r="AA49" i="7"/>
  <c r="AB49" i="7"/>
  <c r="AC49" i="7"/>
  <c r="AD49" i="7"/>
  <c r="AE49" i="7"/>
  <c r="AF49" i="7"/>
  <c r="AG49" i="7"/>
  <c r="AH49" i="7"/>
  <c r="AA50" i="7"/>
  <c r="AB50" i="7"/>
  <c r="AC50" i="7"/>
  <c r="AD50" i="7"/>
  <c r="AE50" i="7"/>
  <c r="AF50" i="7"/>
  <c r="AG50" i="7"/>
  <c r="AH50" i="7"/>
  <c r="AA51" i="7"/>
  <c r="AB51" i="7"/>
  <c r="AC51" i="7"/>
  <c r="AD51" i="7"/>
  <c r="AE51" i="7"/>
  <c r="AF51" i="7"/>
  <c r="AG51" i="7"/>
  <c r="AH51" i="7"/>
  <c r="AA52" i="7"/>
  <c r="AB52" i="7"/>
  <c r="AC52" i="7"/>
  <c r="AD52" i="7"/>
  <c r="AE52" i="7"/>
  <c r="AF52" i="7"/>
  <c r="AG52" i="7"/>
  <c r="AH52" i="7"/>
  <c r="AA53" i="7"/>
  <c r="AB53" i="7"/>
  <c r="AC53" i="7"/>
  <c r="AD53" i="7"/>
  <c r="AE53" i="7"/>
  <c r="AF53" i="7"/>
  <c r="AG53" i="7"/>
  <c r="AH53" i="7"/>
  <c r="AA54" i="7"/>
  <c r="AB54" i="7"/>
  <c r="AC54" i="7"/>
  <c r="AD54" i="7"/>
  <c r="AE54" i="7"/>
  <c r="AF54" i="7"/>
  <c r="AG54" i="7"/>
  <c r="AH54" i="7"/>
  <c r="AA55" i="7"/>
  <c r="AB55" i="7"/>
  <c r="AC55" i="7"/>
  <c r="AD55" i="7"/>
  <c r="AE55" i="7"/>
  <c r="AF55" i="7"/>
  <c r="AG55" i="7"/>
  <c r="AH55" i="7"/>
  <c r="AA56" i="7"/>
  <c r="AB56" i="7"/>
  <c r="AC56" i="7"/>
  <c r="AD56" i="7"/>
  <c r="AE56" i="7"/>
  <c r="AF56" i="7"/>
  <c r="AG56" i="7"/>
  <c r="AH56" i="7"/>
  <c r="AA57" i="7"/>
  <c r="AB57" i="7"/>
  <c r="AC57" i="7"/>
  <c r="AD57" i="7"/>
  <c r="AE57" i="7"/>
  <c r="AF57" i="7"/>
  <c r="AG57" i="7"/>
  <c r="AH57" i="7"/>
  <c r="AA58" i="7"/>
  <c r="AB58" i="7"/>
  <c r="AC58" i="7"/>
  <c r="AD58" i="7"/>
  <c r="AE58" i="7"/>
  <c r="AF58" i="7"/>
  <c r="AG58" i="7"/>
  <c r="AH58" i="7"/>
  <c r="AA59" i="7"/>
  <c r="AB59" i="7"/>
  <c r="AC59" i="7"/>
  <c r="AD59" i="7"/>
  <c r="AE59" i="7"/>
  <c r="AF59" i="7"/>
  <c r="AG59" i="7"/>
  <c r="AH59" i="7"/>
  <c r="AA60" i="7"/>
  <c r="AB60" i="7"/>
  <c r="AC60" i="7"/>
  <c r="AD60" i="7"/>
  <c r="AE60" i="7"/>
  <c r="AF60" i="7"/>
  <c r="AG60" i="7"/>
  <c r="AH60" i="7"/>
  <c r="AB37" i="7"/>
  <c r="AC37" i="7"/>
  <c r="AD37" i="7"/>
  <c r="AE37" i="7"/>
  <c r="AF37" i="7"/>
  <c r="AG37" i="7"/>
  <c r="AH37" i="7"/>
  <c r="AA37" i="7"/>
  <c r="W43" i="7"/>
  <c r="V42" i="7"/>
  <c r="U41" i="7"/>
  <c r="T40" i="7"/>
  <c r="S39" i="7"/>
  <c r="R38" i="7"/>
  <c r="S38" i="7"/>
  <c r="T38" i="7"/>
  <c r="U38" i="7"/>
  <c r="V38" i="7"/>
  <c r="W38" i="7"/>
  <c r="X38" i="7"/>
  <c r="Y38" i="7"/>
  <c r="R39" i="7"/>
  <c r="T39" i="7"/>
  <c r="U39" i="7"/>
  <c r="V39" i="7"/>
  <c r="W39" i="7"/>
  <c r="X39" i="7"/>
  <c r="Y39" i="7"/>
  <c r="R40" i="7"/>
  <c r="S40" i="7"/>
  <c r="U40" i="7"/>
  <c r="V40" i="7"/>
  <c r="W40" i="7"/>
  <c r="X40" i="7"/>
  <c r="Y40" i="7"/>
  <c r="R41" i="7"/>
  <c r="S41" i="7"/>
  <c r="T41" i="7"/>
  <c r="V41" i="7"/>
  <c r="W41" i="7"/>
  <c r="X41" i="7"/>
  <c r="Y41" i="7"/>
  <c r="R42" i="7"/>
  <c r="S42" i="7"/>
  <c r="T42" i="7"/>
  <c r="U42" i="7"/>
  <c r="W42" i="7"/>
  <c r="X42" i="7"/>
  <c r="Y42" i="7"/>
  <c r="R43" i="7"/>
  <c r="S43" i="7"/>
  <c r="T43" i="7"/>
  <c r="U43" i="7"/>
  <c r="V43" i="7"/>
  <c r="X43" i="7"/>
  <c r="Y43" i="7"/>
  <c r="R44" i="7"/>
  <c r="S44" i="7"/>
  <c r="T44" i="7"/>
  <c r="U44" i="7"/>
  <c r="V44" i="7"/>
  <c r="W44" i="7"/>
  <c r="X44" i="7"/>
  <c r="Y44" i="7"/>
  <c r="R45" i="7"/>
  <c r="S45" i="7"/>
  <c r="T45" i="7"/>
  <c r="U45" i="7"/>
  <c r="V45" i="7"/>
  <c r="W45" i="7"/>
  <c r="X45" i="7"/>
  <c r="Y45" i="7"/>
  <c r="R46" i="7"/>
  <c r="S46" i="7"/>
  <c r="T46" i="7"/>
  <c r="U46" i="7"/>
  <c r="V46" i="7"/>
  <c r="W46" i="7"/>
  <c r="X46" i="7"/>
  <c r="Y46" i="7"/>
  <c r="R47" i="7"/>
  <c r="S47" i="7"/>
  <c r="T47" i="7"/>
  <c r="U47" i="7"/>
  <c r="V47" i="7"/>
  <c r="W47" i="7"/>
  <c r="X47" i="7"/>
  <c r="Y47" i="7"/>
  <c r="R48" i="7"/>
  <c r="S48" i="7"/>
  <c r="T48" i="7"/>
  <c r="U48" i="7"/>
  <c r="V48" i="7"/>
  <c r="W48" i="7"/>
  <c r="X48" i="7"/>
  <c r="Y48" i="7"/>
  <c r="R49" i="7"/>
  <c r="S49" i="7"/>
  <c r="T49" i="7"/>
  <c r="U49" i="7"/>
  <c r="V49" i="7"/>
  <c r="W49" i="7"/>
  <c r="X49" i="7"/>
  <c r="Y49" i="7"/>
  <c r="R50" i="7"/>
  <c r="S50" i="7"/>
  <c r="T50" i="7"/>
  <c r="U50" i="7"/>
  <c r="V50" i="7"/>
  <c r="W50" i="7"/>
  <c r="X50" i="7"/>
  <c r="Y50" i="7"/>
  <c r="R51" i="7"/>
  <c r="S51" i="7"/>
  <c r="T51" i="7"/>
  <c r="U51" i="7"/>
  <c r="V51" i="7"/>
  <c r="W51" i="7"/>
  <c r="X51" i="7"/>
  <c r="Y51" i="7"/>
  <c r="R52" i="7"/>
  <c r="S52" i="7"/>
  <c r="T52" i="7"/>
  <c r="U52" i="7"/>
  <c r="V52" i="7"/>
  <c r="W52" i="7"/>
  <c r="X52" i="7"/>
  <c r="Y52" i="7"/>
  <c r="R53" i="7"/>
  <c r="S53" i="7"/>
  <c r="T53" i="7"/>
  <c r="U53" i="7"/>
  <c r="V53" i="7"/>
  <c r="W53" i="7"/>
  <c r="X53" i="7"/>
  <c r="Y53" i="7"/>
  <c r="R54" i="7"/>
  <c r="S54" i="7"/>
  <c r="T54" i="7"/>
  <c r="U54" i="7"/>
  <c r="V54" i="7"/>
  <c r="W54" i="7"/>
  <c r="X54" i="7"/>
  <c r="Y54" i="7"/>
  <c r="R55" i="7"/>
  <c r="S55" i="7"/>
  <c r="T55" i="7"/>
  <c r="U55" i="7"/>
  <c r="V55" i="7"/>
  <c r="W55" i="7"/>
  <c r="X55" i="7"/>
  <c r="Y55" i="7"/>
  <c r="R56" i="7"/>
  <c r="S56" i="7"/>
  <c r="T56" i="7"/>
  <c r="U56" i="7"/>
  <c r="V56" i="7"/>
  <c r="W56" i="7"/>
  <c r="X56" i="7"/>
  <c r="Y56" i="7"/>
  <c r="R57" i="7"/>
  <c r="S57" i="7"/>
  <c r="T57" i="7"/>
  <c r="U57" i="7"/>
  <c r="V57" i="7"/>
  <c r="W57" i="7"/>
  <c r="X57" i="7"/>
  <c r="Y57" i="7"/>
  <c r="R58" i="7"/>
  <c r="S58" i="7"/>
  <c r="T58" i="7"/>
  <c r="U58" i="7"/>
  <c r="V58" i="7"/>
  <c r="W58" i="7"/>
  <c r="X58" i="7"/>
  <c r="Y58" i="7"/>
  <c r="R59" i="7"/>
  <c r="S59" i="7"/>
  <c r="T59" i="7"/>
  <c r="U59" i="7"/>
  <c r="V59" i="7"/>
  <c r="W59" i="7"/>
  <c r="X59" i="7"/>
  <c r="Y59" i="7"/>
  <c r="R60" i="7"/>
  <c r="S60" i="7"/>
  <c r="T60" i="7"/>
  <c r="U60" i="7"/>
  <c r="V60" i="7"/>
  <c r="W60" i="7"/>
  <c r="X60" i="7"/>
  <c r="Y60" i="7"/>
  <c r="Y37" i="7"/>
  <c r="X37" i="7"/>
  <c r="W37" i="7"/>
  <c r="V37" i="7"/>
  <c r="U37" i="7"/>
  <c r="T37" i="7"/>
  <c r="S37" i="7"/>
  <c r="R37" i="7"/>
  <c r="P71" i="7"/>
  <c r="Q71" i="7"/>
  <c r="P72" i="7"/>
  <c r="Q72" i="7"/>
  <c r="P73" i="7"/>
  <c r="Q73" i="7"/>
  <c r="P74" i="7"/>
  <c r="Q74" i="7"/>
  <c r="P75" i="7"/>
  <c r="Q75" i="7"/>
  <c r="P76" i="7"/>
  <c r="Q76" i="7"/>
  <c r="P77" i="7"/>
  <c r="Q77" i="7"/>
  <c r="P78" i="7"/>
  <c r="Q78" i="7"/>
  <c r="P79" i="7"/>
  <c r="Q79" i="7"/>
  <c r="P80" i="7"/>
  <c r="Q80" i="7"/>
  <c r="P81" i="7"/>
  <c r="Q81" i="7"/>
  <c r="P82" i="7"/>
  <c r="Q82" i="7"/>
  <c r="P83" i="7"/>
  <c r="Q83" i="7"/>
  <c r="P84" i="7"/>
  <c r="Q84" i="7"/>
  <c r="P85" i="7"/>
  <c r="Q85" i="7"/>
  <c r="P86" i="7"/>
  <c r="Q86" i="7"/>
  <c r="P87" i="7"/>
  <c r="Q87" i="7"/>
  <c r="P88" i="7"/>
  <c r="Q88" i="7"/>
  <c r="P89" i="7"/>
  <c r="Q89" i="7"/>
  <c r="P90" i="7"/>
  <c r="Q90" i="7"/>
  <c r="P91" i="7"/>
  <c r="Q91" i="7"/>
  <c r="P92" i="7"/>
  <c r="Q92" i="7"/>
  <c r="P93" i="7"/>
  <c r="Q93" i="7"/>
  <c r="P94" i="7"/>
  <c r="Q94" i="7"/>
  <c r="P95" i="7"/>
  <c r="Q95" i="7"/>
  <c r="P96" i="7"/>
  <c r="Q96" i="7"/>
  <c r="Q70" i="7"/>
  <c r="P70" i="7"/>
  <c r="Q56" i="7"/>
  <c r="P38" i="7"/>
  <c r="Q38" i="7"/>
  <c r="P39" i="7"/>
  <c r="Q39" i="7"/>
  <c r="P40" i="7"/>
  <c r="Q40" i="7"/>
  <c r="P41" i="7"/>
  <c r="Q41" i="7"/>
  <c r="P42" i="7"/>
  <c r="Q42" i="7"/>
  <c r="P43" i="7"/>
  <c r="Q43" i="7"/>
  <c r="P44" i="7"/>
  <c r="Q44" i="7"/>
  <c r="P45" i="7"/>
  <c r="Q45" i="7"/>
  <c r="P46" i="7"/>
  <c r="Q46" i="7"/>
  <c r="P47" i="7"/>
  <c r="Q47" i="7"/>
  <c r="P48" i="7"/>
  <c r="Q48" i="7"/>
  <c r="P49" i="7"/>
  <c r="Q49" i="7"/>
  <c r="P50" i="7"/>
  <c r="Q50" i="7"/>
  <c r="P51" i="7"/>
  <c r="Q51" i="7"/>
  <c r="P52" i="7"/>
  <c r="Q52" i="7"/>
  <c r="P53" i="7"/>
  <c r="Q53" i="7"/>
  <c r="P54" i="7"/>
  <c r="Q54" i="7"/>
  <c r="P55" i="7"/>
  <c r="Q55" i="7"/>
  <c r="P56" i="7"/>
  <c r="P57" i="7"/>
  <c r="Q57" i="7"/>
  <c r="P58" i="7"/>
  <c r="Q58" i="7"/>
  <c r="P59" i="7"/>
  <c r="Q59" i="7"/>
  <c r="P60" i="7"/>
  <c r="Q60" i="7"/>
  <c r="Q37" i="7"/>
  <c r="P37" i="7"/>
  <c r="E127" i="1"/>
  <c r="E80" i="1"/>
  <c r="E35" i="1"/>
  <c r="N4" i="7"/>
  <c r="U4" i="7" s="1"/>
  <c r="O4" i="7"/>
  <c r="V4" i="7" s="1"/>
  <c r="P4" i="7"/>
  <c r="W4" i="7" s="1"/>
  <c r="Q4" i="7"/>
  <c r="X4" i="7" s="1"/>
  <c r="R4" i="7"/>
  <c r="Y4" i="7" s="1"/>
  <c r="S4" i="7"/>
  <c r="Z4" i="7" s="1"/>
  <c r="N5" i="7"/>
  <c r="U5" i="7" s="1"/>
  <c r="O5" i="7"/>
  <c r="V5" i="7" s="1"/>
  <c r="P5" i="7"/>
  <c r="W5" i="7" s="1"/>
  <c r="Q5" i="7"/>
  <c r="X5" i="7" s="1"/>
  <c r="R5" i="7"/>
  <c r="Y5" i="7" s="1"/>
  <c r="S5" i="7"/>
  <c r="Z5" i="7" s="1"/>
  <c r="N6" i="7"/>
  <c r="U6" i="7" s="1"/>
  <c r="O6" i="7"/>
  <c r="V6" i="7" s="1"/>
  <c r="P6" i="7"/>
  <c r="W6" i="7" s="1"/>
  <c r="Q6" i="7"/>
  <c r="X6" i="7" s="1"/>
  <c r="R6" i="7"/>
  <c r="Y6" i="7" s="1"/>
  <c r="S6" i="7"/>
  <c r="Z6" i="7" s="1"/>
  <c r="N7" i="7"/>
  <c r="U7" i="7" s="1"/>
  <c r="O7" i="7"/>
  <c r="V7" i="7" s="1"/>
  <c r="P7" i="7"/>
  <c r="W7" i="7" s="1"/>
  <c r="Q7" i="7"/>
  <c r="X7" i="7" s="1"/>
  <c r="R7" i="7"/>
  <c r="Y7" i="7" s="1"/>
  <c r="S7" i="7"/>
  <c r="Z7" i="7" s="1"/>
  <c r="N8" i="7"/>
  <c r="U8" i="7" s="1"/>
  <c r="O8" i="7"/>
  <c r="V8" i="7" s="1"/>
  <c r="P8" i="7"/>
  <c r="W8" i="7" s="1"/>
  <c r="Q8" i="7"/>
  <c r="X8" i="7" s="1"/>
  <c r="R8" i="7"/>
  <c r="Y8" i="7" s="1"/>
  <c r="S8" i="7"/>
  <c r="Z8" i="7" s="1"/>
  <c r="N9" i="7"/>
  <c r="U9" i="7" s="1"/>
  <c r="O9" i="7"/>
  <c r="V9" i="7" s="1"/>
  <c r="P9" i="7"/>
  <c r="W9" i="7" s="1"/>
  <c r="Q9" i="7"/>
  <c r="X9" i="7" s="1"/>
  <c r="R9" i="7"/>
  <c r="Y9" i="7" s="1"/>
  <c r="S9" i="7"/>
  <c r="Z9" i="7" s="1"/>
  <c r="N10" i="7"/>
  <c r="U10" i="7" s="1"/>
  <c r="O10" i="7"/>
  <c r="V10" i="7" s="1"/>
  <c r="P10" i="7"/>
  <c r="W10" i="7" s="1"/>
  <c r="Q10" i="7"/>
  <c r="X10" i="7" s="1"/>
  <c r="R10" i="7"/>
  <c r="Y10" i="7" s="1"/>
  <c r="S10" i="7"/>
  <c r="Z10" i="7" s="1"/>
  <c r="N11" i="7"/>
  <c r="U11" i="7" s="1"/>
  <c r="O11" i="7"/>
  <c r="V11" i="7" s="1"/>
  <c r="P11" i="7"/>
  <c r="W11" i="7" s="1"/>
  <c r="Q11" i="7"/>
  <c r="X11" i="7" s="1"/>
  <c r="R11" i="7"/>
  <c r="Y11" i="7" s="1"/>
  <c r="S11" i="7"/>
  <c r="Z11" i="7" s="1"/>
  <c r="N12" i="7"/>
  <c r="U12" i="7" s="1"/>
  <c r="O12" i="7"/>
  <c r="V12" i="7" s="1"/>
  <c r="P12" i="7"/>
  <c r="W12" i="7" s="1"/>
  <c r="Q12" i="7"/>
  <c r="X12" i="7" s="1"/>
  <c r="R12" i="7"/>
  <c r="Y12" i="7" s="1"/>
  <c r="S12" i="7"/>
  <c r="Z12" i="7" s="1"/>
  <c r="N13" i="7"/>
  <c r="U13" i="7" s="1"/>
  <c r="O13" i="7"/>
  <c r="V13" i="7" s="1"/>
  <c r="P13" i="7"/>
  <c r="W13" i="7" s="1"/>
  <c r="Q13" i="7"/>
  <c r="X13" i="7" s="1"/>
  <c r="R13" i="7"/>
  <c r="Y13" i="7" s="1"/>
  <c r="S13" i="7"/>
  <c r="Z13" i="7" s="1"/>
  <c r="N14" i="7"/>
  <c r="U14" i="7" s="1"/>
  <c r="O14" i="7"/>
  <c r="V14" i="7" s="1"/>
  <c r="P14" i="7"/>
  <c r="W14" i="7" s="1"/>
  <c r="Q14" i="7"/>
  <c r="X14" i="7" s="1"/>
  <c r="R14" i="7"/>
  <c r="Y14" i="7" s="1"/>
  <c r="S14" i="7"/>
  <c r="Z14" i="7" s="1"/>
  <c r="N15" i="7"/>
  <c r="U15" i="7" s="1"/>
  <c r="O15" i="7"/>
  <c r="V15" i="7" s="1"/>
  <c r="P15" i="7"/>
  <c r="W15" i="7" s="1"/>
  <c r="Q15" i="7"/>
  <c r="X15" i="7" s="1"/>
  <c r="R15" i="7"/>
  <c r="Y15" i="7" s="1"/>
  <c r="S15" i="7"/>
  <c r="Z15" i="7" s="1"/>
  <c r="N16" i="7"/>
  <c r="U16" i="7" s="1"/>
  <c r="O16" i="7"/>
  <c r="V16" i="7" s="1"/>
  <c r="P16" i="7"/>
  <c r="W16" i="7" s="1"/>
  <c r="Q16" i="7"/>
  <c r="X16" i="7" s="1"/>
  <c r="R16" i="7"/>
  <c r="Y16" i="7" s="1"/>
  <c r="S16" i="7"/>
  <c r="Z16" i="7" s="1"/>
  <c r="N17" i="7"/>
  <c r="U17" i="7" s="1"/>
  <c r="O17" i="7"/>
  <c r="V17" i="7" s="1"/>
  <c r="P17" i="7"/>
  <c r="W17" i="7" s="1"/>
  <c r="Q17" i="7"/>
  <c r="X17" i="7" s="1"/>
  <c r="R17" i="7"/>
  <c r="Y17" i="7" s="1"/>
  <c r="S17" i="7"/>
  <c r="Z17" i="7" s="1"/>
  <c r="N18" i="7"/>
  <c r="U18" i="7" s="1"/>
  <c r="O18" i="7"/>
  <c r="V18" i="7" s="1"/>
  <c r="P18" i="7"/>
  <c r="W18" i="7" s="1"/>
  <c r="Q18" i="7"/>
  <c r="X18" i="7" s="1"/>
  <c r="R18" i="7"/>
  <c r="Y18" i="7" s="1"/>
  <c r="S18" i="7"/>
  <c r="Z18" i="7" s="1"/>
  <c r="N19" i="7"/>
  <c r="U19" i="7" s="1"/>
  <c r="O19" i="7"/>
  <c r="V19" i="7" s="1"/>
  <c r="P19" i="7"/>
  <c r="W19" i="7" s="1"/>
  <c r="Q19" i="7"/>
  <c r="X19" i="7" s="1"/>
  <c r="R19" i="7"/>
  <c r="Y19" i="7" s="1"/>
  <c r="S19" i="7"/>
  <c r="Z19" i="7" s="1"/>
  <c r="N20" i="7"/>
  <c r="U20" i="7" s="1"/>
  <c r="O20" i="7"/>
  <c r="V20" i="7" s="1"/>
  <c r="P20" i="7"/>
  <c r="W20" i="7" s="1"/>
  <c r="Q20" i="7"/>
  <c r="X20" i="7" s="1"/>
  <c r="R20" i="7"/>
  <c r="Y20" i="7" s="1"/>
  <c r="S20" i="7"/>
  <c r="Z20" i="7" s="1"/>
  <c r="N21" i="7"/>
  <c r="U21" i="7" s="1"/>
  <c r="O21" i="7"/>
  <c r="V21" i="7" s="1"/>
  <c r="P21" i="7"/>
  <c r="W21" i="7" s="1"/>
  <c r="Q21" i="7"/>
  <c r="X21" i="7" s="1"/>
  <c r="R21" i="7"/>
  <c r="Y21" i="7" s="1"/>
  <c r="S21" i="7"/>
  <c r="Z21" i="7" s="1"/>
  <c r="N22" i="7"/>
  <c r="U22" i="7" s="1"/>
  <c r="O22" i="7"/>
  <c r="V22" i="7" s="1"/>
  <c r="P22" i="7"/>
  <c r="W22" i="7" s="1"/>
  <c r="Q22" i="7"/>
  <c r="X22" i="7" s="1"/>
  <c r="R22" i="7"/>
  <c r="Y22" i="7" s="1"/>
  <c r="S22" i="7"/>
  <c r="Z22" i="7" s="1"/>
  <c r="N23" i="7"/>
  <c r="U23" i="7" s="1"/>
  <c r="O23" i="7"/>
  <c r="V23" i="7" s="1"/>
  <c r="P23" i="7"/>
  <c r="W23" i="7" s="1"/>
  <c r="Q23" i="7"/>
  <c r="X23" i="7" s="1"/>
  <c r="R23" i="7"/>
  <c r="Y23" i="7" s="1"/>
  <c r="S23" i="7"/>
  <c r="Z23" i="7" s="1"/>
  <c r="N24" i="7"/>
  <c r="U24" i="7" s="1"/>
  <c r="O24" i="7"/>
  <c r="V24" i="7" s="1"/>
  <c r="P24" i="7"/>
  <c r="W24" i="7" s="1"/>
  <c r="Q24" i="7"/>
  <c r="X24" i="7" s="1"/>
  <c r="R24" i="7"/>
  <c r="Y24" i="7" s="1"/>
  <c r="S24" i="7"/>
  <c r="Z24" i="7" s="1"/>
  <c r="N25" i="7"/>
  <c r="U25" i="7" s="1"/>
  <c r="O25" i="7"/>
  <c r="V25" i="7" s="1"/>
  <c r="P25" i="7"/>
  <c r="W25" i="7" s="1"/>
  <c r="Q25" i="7"/>
  <c r="X25" i="7" s="1"/>
  <c r="R25" i="7"/>
  <c r="Y25" i="7" s="1"/>
  <c r="S25" i="7"/>
  <c r="Z25" i="7" s="1"/>
  <c r="N26" i="7"/>
  <c r="U26" i="7" s="1"/>
  <c r="O26" i="7"/>
  <c r="V26" i="7" s="1"/>
  <c r="P26" i="7"/>
  <c r="W26" i="7" s="1"/>
  <c r="Q26" i="7"/>
  <c r="X26" i="7" s="1"/>
  <c r="R26" i="7"/>
  <c r="Y26" i="7" s="1"/>
  <c r="S26" i="7"/>
  <c r="Z26" i="7" s="1"/>
  <c r="N27" i="7"/>
  <c r="U27" i="7" s="1"/>
  <c r="O27" i="7"/>
  <c r="V27" i="7" s="1"/>
  <c r="P27" i="7"/>
  <c r="W27" i="7" s="1"/>
  <c r="Q27" i="7"/>
  <c r="X27" i="7" s="1"/>
  <c r="R27" i="7"/>
  <c r="Y27" i="7" s="1"/>
  <c r="S27" i="7"/>
  <c r="Z27" i="7" s="1"/>
  <c r="N28" i="7"/>
  <c r="U28" i="7" s="1"/>
  <c r="O28" i="7"/>
  <c r="V28" i="7" s="1"/>
  <c r="P28" i="7"/>
  <c r="W28" i="7" s="1"/>
  <c r="Q28" i="7"/>
  <c r="X28" i="7" s="1"/>
  <c r="R28" i="7"/>
  <c r="Y28" i="7" s="1"/>
  <c r="S28" i="7"/>
  <c r="Z28" i="7" s="1"/>
  <c r="S3" i="7"/>
  <c r="Z3" i="7" s="1"/>
  <c r="R3" i="7"/>
  <c r="Y3" i="7" s="1"/>
  <c r="Q3" i="7"/>
  <c r="X3" i="7" s="1"/>
  <c r="P3" i="7"/>
  <c r="W3" i="7" s="1"/>
  <c r="O3" i="7"/>
  <c r="V3" i="7" s="1"/>
  <c r="N3" i="7"/>
  <c r="U3" i="7" s="1"/>
  <c r="M17" i="7"/>
  <c r="M28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8" i="7"/>
  <c r="M19" i="7"/>
  <c r="M20" i="7"/>
  <c r="M21" i="7"/>
  <c r="M22" i="7"/>
  <c r="M23" i="7"/>
  <c r="M24" i="7"/>
  <c r="M25" i="7"/>
  <c r="M26" i="7"/>
  <c r="M27" i="7"/>
  <c r="M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3" i="7"/>
  <c r="E48" i="5"/>
  <c r="E44" i="5"/>
  <c r="E45" i="5"/>
  <c r="E46" i="5"/>
  <c r="E47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43" i="5"/>
  <c r="Q44" i="5"/>
  <c r="U44" i="5" s="1"/>
  <c r="Q45" i="5"/>
  <c r="U45" i="5" s="1"/>
  <c r="Q46" i="5"/>
  <c r="U46" i="5" s="1"/>
  <c r="Q47" i="5"/>
  <c r="U47" i="5" s="1"/>
  <c r="Q48" i="5"/>
  <c r="U48" i="5" s="1"/>
  <c r="Q49" i="5"/>
  <c r="U49" i="5" s="1"/>
  <c r="Q50" i="5"/>
  <c r="U50" i="5" s="1"/>
  <c r="Q51" i="5"/>
  <c r="U51" i="5" s="1"/>
  <c r="Q52" i="5"/>
  <c r="U52" i="5" s="1"/>
  <c r="Q53" i="5"/>
  <c r="U53" i="5" s="1"/>
  <c r="Q54" i="5"/>
  <c r="U54" i="5" s="1"/>
  <c r="Q55" i="5"/>
  <c r="U55" i="5" s="1"/>
  <c r="T55" i="5"/>
  <c r="Q56" i="5"/>
  <c r="U56" i="5" s="1"/>
  <c r="Q57" i="5"/>
  <c r="U57" i="5" s="1"/>
  <c r="Q58" i="5"/>
  <c r="U58" i="5" s="1"/>
  <c r="Q59" i="5"/>
  <c r="U59" i="5" s="1"/>
  <c r="S59" i="5"/>
  <c r="Q60" i="5"/>
  <c r="U60" i="5" s="1"/>
  <c r="Q61" i="5"/>
  <c r="U61" i="5" s="1"/>
  <c r="Q62" i="5"/>
  <c r="U62" i="5" s="1"/>
  <c r="Q63" i="5"/>
  <c r="U63" i="5" s="1"/>
  <c r="Q64" i="5"/>
  <c r="U64" i="5" s="1"/>
  <c r="Q65" i="5"/>
  <c r="U65" i="5" s="1"/>
  <c r="Q66" i="5"/>
  <c r="U66" i="5" s="1"/>
  <c r="Q67" i="5"/>
  <c r="U67" i="5" s="1"/>
  <c r="T67" i="5"/>
  <c r="Q43" i="5"/>
  <c r="U43" i="5" s="1"/>
  <c r="S62" i="5" l="1"/>
  <c r="T52" i="5"/>
  <c r="S52" i="5"/>
  <c r="S46" i="5"/>
  <c r="S55" i="5"/>
  <c r="T45" i="5"/>
  <c r="T66" i="5"/>
  <c r="S66" i="5"/>
  <c r="T54" i="5"/>
  <c r="T44" i="5"/>
  <c r="T63" i="5"/>
  <c r="S54" i="5"/>
  <c r="S44" i="5"/>
  <c r="S63" i="5"/>
  <c r="S67" i="5"/>
  <c r="S65" i="5"/>
  <c r="T65" i="5"/>
  <c r="S64" i="5"/>
  <c r="T64" i="5"/>
  <c r="T62" i="5"/>
  <c r="T61" i="5"/>
  <c r="S61" i="5"/>
  <c r="T60" i="5"/>
  <c r="S60" i="5"/>
  <c r="T59" i="5"/>
  <c r="T58" i="5"/>
  <c r="S58" i="5"/>
  <c r="T57" i="5"/>
  <c r="S57" i="5"/>
  <c r="S56" i="5"/>
  <c r="T56" i="5"/>
  <c r="T53" i="5"/>
  <c r="S53" i="5"/>
  <c r="T51" i="5"/>
  <c r="S51" i="5"/>
  <c r="S50" i="5"/>
  <c r="T50" i="5"/>
  <c r="T49" i="5"/>
  <c r="S49" i="5"/>
  <c r="T48" i="5"/>
  <c r="S48" i="5"/>
  <c r="T47" i="5"/>
  <c r="S47" i="5"/>
  <c r="T46" i="5"/>
  <c r="S45" i="5"/>
  <c r="S43" i="5"/>
  <c r="T43" i="5"/>
  <c r="Y43" i="1"/>
  <c r="AB43" i="1" s="1"/>
  <c r="Y44" i="1"/>
  <c r="AB44" i="1" s="1"/>
  <c r="Y45" i="1"/>
  <c r="AB45" i="1" s="1"/>
  <c r="Y46" i="1"/>
  <c r="AB46" i="1" s="1"/>
  <c r="Y47" i="1"/>
  <c r="AB47" i="1" s="1"/>
  <c r="Y48" i="1"/>
  <c r="AB48" i="1" s="1"/>
  <c r="Y49" i="1"/>
  <c r="AB49" i="1" s="1"/>
  <c r="Y50" i="1"/>
  <c r="AB50" i="1" s="1"/>
  <c r="Y51" i="1"/>
  <c r="AB51" i="1" s="1"/>
  <c r="Y52" i="1"/>
  <c r="AB52" i="1" s="1"/>
  <c r="Y53" i="1"/>
  <c r="AB53" i="1" s="1"/>
  <c r="Y54" i="1"/>
  <c r="AB54" i="1" s="1"/>
  <c r="Y55" i="1"/>
  <c r="AB55" i="1" s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Y33" i="1"/>
  <c r="Y27" i="1"/>
  <c r="E33" i="1"/>
  <c r="Y92" i="1"/>
  <c r="AB92" i="1" s="1"/>
  <c r="Y93" i="1"/>
  <c r="AB93" i="1" s="1"/>
  <c r="Y94" i="1"/>
  <c r="AC94" i="1" s="1"/>
  <c r="Y95" i="1"/>
  <c r="AD95" i="1" s="1"/>
  <c r="Y96" i="1"/>
  <c r="AC96" i="1" s="1"/>
  <c r="AB96" i="1"/>
  <c r="Y97" i="1"/>
  <c r="AB97" i="1" s="1"/>
  <c r="Y98" i="1"/>
  <c r="AC98" i="1" s="1"/>
  <c r="Y99" i="1"/>
  <c r="AD99" i="1" s="1"/>
  <c r="Y100" i="1"/>
  <c r="AB100" i="1" s="1"/>
  <c r="Y101" i="1"/>
  <c r="AB101" i="1" s="1"/>
  <c r="E101" i="1"/>
  <c r="E100" i="1"/>
  <c r="E99" i="1"/>
  <c r="E98" i="1"/>
  <c r="E97" i="1"/>
  <c r="E96" i="1"/>
  <c r="E95" i="1"/>
  <c r="E94" i="1"/>
  <c r="E93" i="1"/>
  <c r="E92" i="1"/>
  <c r="AG53" i="1" l="1"/>
  <c r="AG51" i="1"/>
  <c r="AG100" i="1"/>
  <c r="AG45" i="1"/>
  <c r="AG44" i="1"/>
  <c r="AB98" i="1"/>
  <c r="AG98" i="1" s="1"/>
  <c r="AE93" i="1"/>
  <c r="AJ54" i="1"/>
  <c r="AJ52" i="1"/>
  <c r="AJ50" i="1"/>
  <c r="AJ48" i="1"/>
  <c r="AJ46" i="1"/>
  <c r="AJ44" i="1"/>
  <c r="AF44" i="1"/>
  <c r="AE46" i="1"/>
  <c r="AD98" i="1"/>
  <c r="AF92" i="1"/>
  <c r="AG92" i="1" s="1"/>
  <c r="AF54" i="1"/>
  <c r="AG54" i="1" s="1"/>
  <c r="AF52" i="1"/>
  <c r="AG52" i="1" s="1"/>
  <c r="AF50" i="1"/>
  <c r="AG50" i="1" s="1"/>
  <c r="AF48" i="1"/>
  <c r="AG48" i="1" s="1"/>
  <c r="AF46" i="1"/>
  <c r="AG46" i="1" s="1"/>
  <c r="AF96" i="1"/>
  <c r="AE92" i="1"/>
  <c r="AE54" i="1"/>
  <c r="AE52" i="1"/>
  <c r="AE50" i="1"/>
  <c r="AE48" i="1"/>
  <c r="AE44" i="1"/>
  <c r="AC44" i="1"/>
  <c r="AE96" i="1"/>
  <c r="AD92" i="1"/>
  <c r="AD54" i="1"/>
  <c r="AD52" i="1"/>
  <c r="AD50" i="1"/>
  <c r="AD48" i="1"/>
  <c r="AD46" i="1"/>
  <c r="AD44" i="1"/>
  <c r="AF100" i="1"/>
  <c r="AD96" i="1"/>
  <c r="AC92" i="1"/>
  <c r="AC54" i="1"/>
  <c r="AC52" i="1"/>
  <c r="AC50" i="1"/>
  <c r="AC48" i="1"/>
  <c r="AC46" i="1"/>
  <c r="AE100" i="1"/>
  <c r="AD100" i="1"/>
  <c r="AJ55" i="1"/>
  <c r="AJ53" i="1"/>
  <c r="AJ51" i="1"/>
  <c r="AJ49" i="1"/>
  <c r="AJ47" i="1"/>
  <c r="AJ45" i="1"/>
  <c r="AJ43" i="1"/>
  <c r="AG96" i="1"/>
  <c r="AC100" i="1"/>
  <c r="AC95" i="1"/>
  <c r="AF43" i="1"/>
  <c r="AG43" i="1" s="1"/>
  <c r="AF55" i="1"/>
  <c r="AG55" i="1" s="1"/>
  <c r="AF53" i="1"/>
  <c r="AF51" i="1"/>
  <c r="AF49" i="1"/>
  <c r="AG49" i="1" s="1"/>
  <c r="AF47" i="1"/>
  <c r="AG47" i="1" s="1"/>
  <c r="AF45" i="1"/>
  <c r="AC99" i="1"/>
  <c r="AF94" i="1"/>
  <c r="AE55" i="1"/>
  <c r="AE53" i="1"/>
  <c r="AE51" i="1"/>
  <c r="AE49" i="1"/>
  <c r="AE47" i="1"/>
  <c r="AE45" i="1"/>
  <c r="AE43" i="1"/>
  <c r="AD43" i="1"/>
  <c r="AE94" i="1"/>
  <c r="AD55" i="1"/>
  <c r="AD49" i="1"/>
  <c r="AD45" i="1"/>
  <c r="AF98" i="1"/>
  <c r="AD94" i="1"/>
  <c r="AC55" i="1"/>
  <c r="AC53" i="1"/>
  <c r="AC51" i="1"/>
  <c r="AC49" i="1"/>
  <c r="AC47" i="1"/>
  <c r="AC45" i="1"/>
  <c r="AC43" i="1"/>
  <c r="AD53" i="1"/>
  <c r="AD51" i="1"/>
  <c r="AD47" i="1"/>
  <c r="AE98" i="1"/>
  <c r="AB94" i="1"/>
  <c r="AD101" i="1"/>
  <c r="AF99" i="1"/>
  <c r="AB99" i="1"/>
  <c r="AG99" i="1" s="1"/>
  <c r="AD97" i="1"/>
  <c r="AF95" i="1"/>
  <c r="AB95" i="1"/>
  <c r="AD93" i="1"/>
  <c r="AE99" i="1"/>
  <c r="AE101" i="1"/>
  <c r="AE97" i="1"/>
  <c r="AC101" i="1"/>
  <c r="AC97" i="1"/>
  <c r="AE95" i="1"/>
  <c r="AC93" i="1"/>
  <c r="AF101" i="1"/>
  <c r="AG101" i="1" s="1"/>
  <c r="AF97" i="1"/>
  <c r="AG97" i="1" s="1"/>
  <c r="AF93" i="1"/>
  <c r="AG93" i="1" s="1"/>
  <c r="F26" i="6"/>
  <c r="F25" i="6"/>
  <c r="F21" i="6"/>
  <c r="F18" i="6"/>
  <c r="F17" i="6"/>
  <c r="F16" i="6"/>
  <c r="F15" i="6"/>
  <c r="F14" i="6"/>
  <c r="F13" i="6"/>
  <c r="F9" i="6"/>
  <c r="F6" i="6"/>
  <c r="F5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F7" i="6"/>
  <c r="G7" i="6"/>
  <c r="H7" i="6"/>
  <c r="I7" i="6"/>
  <c r="F8" i="6"/>
  <c r="G8" i="6"/>
  <c r="H8" i="6"/>
  <c r="I8" i="6"/>
  <c r="G9" i="6"/>
  <c r="H9" i="6"/>
  <c r="I9" i="6"/>
  <c r="F10" i="6"/>
  <c r="G10" i="6"/>
  <c r="H10" i="6"/>
  <c r="I10" i="6"/>
  <c r="F11" i="6"/>
  <c r="G11" i="6"/>
  <c r="H11" i="6"/>
  <c r="I11" i="6"/>
  <c r="F12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F19" i="6"/>
  <c r="G19" i="6"/>
  <c r="H19" i="6"/>
  <c r="I19" i="6"/>
  <c r="F20" i="6"/>
  <c r="G20" i="6"/>
  <c r="H20" i="6"/>
  <c r="I20" i="6"/>
  <c r="G21" i="6"/>
  <c r="H21" i="6"/>
  <c r="I21" i="6"/>
  <c r="F22" i="6"/>
  <c r="G22" i="6"/>
  <c r="H22" i="6"/>
  <c r="I22" i="6"/>
  <c r="F23" i="6"/>
  <c r="G23" i="6"/>
  <c r="H23" i="6"/>
  <c r="I23" i="6"/>
  <c r="F24" i="6"/>
  <c r="G24" i="6"/>
  <c r="H24" i="6"/>
  <c r="I24" i="6"/>
  <c r="G25" i="6"/>
  <c r="H25" i="6"/>
  <c r="I25" i="6"/>
  <c r="G26" i="6"/>
  <c r="H26" i="6"/>
  <c r="I26" i="6"/>
  <c r="F27" i="6"/>
  <c r="G27" i="6"/>
  <c r="H27" i="6"/>
  <c r="I27" i="6"/>
  <c r="F28" i="6"/>
  <c r="G28" i="6"/>
  <c r="H28" i="6"/>
  <c r="I28" i="6"/>
  <c r="G2" i="6"/>
  <c r="H2" i="6"/>
  <c r="I2" i="6"/>
  <c r="F2" i="6"/>
  <c r="AF122" i="1"/>
  <c r="AF125" i="1"/>
  <c r="AF126" i="1"/>
  <c r="AF127" i="1"/>
  <c r="AF128" i="1"/>
  <c r="AF129" i="1"/>
  <c r="AF133" i="1"/>
  <c r="AF140" i="1"/>
  <c r="AF144" i="1"/>
  <c r="AF146" i="1"/>
  <c r="AF121" i="1"/>
  <c r="E122" i="1"/>
  <c r="E123" i="1"/>
  <c r="E124" i="1"/>
  <c r="E125" i="1"/>
  <c r="E126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21" i="1"/>
  <c r="Y144" i="1"/>
  <c r="Y145" i="1"/>
  <c r="AB145" i="1" s="1"/>
  <c r="Y146" i="1"/>
  <c r="AE146" i="1" s="1"/>
  <c r="AB144" i="1"/>
  <c r="AC144" i="1"/>
  <c r="AD144" i="1"/>
  <c r="AE144" i="1"/>
  <c r="Y128" i="1"/>
  <c r="AB128" i="1" s="1"/>
  <c r="Y129" i="1"/>
  <c r="AB129" i="1" s="1"/>
  <c r="AE129" i="1"/>
  <c r="Y130" i="1"/>
  <c r="AE130" i="1" s="1"/>
  <c r="Y131" i="1"/>
  <c r="AB131" i="1" s="1"/>
  <c r="Y132" i="1"/>
  <c r="AB132" i="1" s="1"/>
  <c r="Y133" i="1"/>
  <c r="AC133" i="1" s="1"/>
  <c r="Y134" i="1"/>
  <c r="AB134" i="1" s="1"/>
  <c r="Y135" i="1"/>
  <c r="AD135" i="1"/>
  <c r="Y136" i="1"/>
  <c r="AC136" i="1" s="1"/>
  <c r="AB136" i="1"/>
  <c r="Y137" i="1"/>
  <c r="AB137" i="1" s="1"/>
  <c r="Y138" i="1"/>
  <c r="AE138" i="1" s="1"/>
  <c r="Y139" i="1"/>
  <c r="AB139" i="1" s="1"/>
  <c r="Y140" i="1"/>
  <c r="AB140" i="1" s="1"/>
  <c r="Y141" i="1"/>
  <c r="AC141" i="1" s="1"/>
  <c r="Y142" i="1"/>
  <c r="AB142" i="1" s="1"/>
  <c r="Y143" i="1"/>
  <c r="AB143" i="1" s="1"/>
  <c r="AB122" i="1"/>
  <c r="AE123" i="1"/>
  <c r="AB124" i="1"/>
  <c r="AC124" i="1"/>
  <c r="AD124" i="1"/>
  <c r="AE124" i="1"/>
  <c r="AB125" i="1"/>
  <c r="AC125" i="1"/>
  <c r="AE125" i="1"/>
  <c r="AB126" i="1"/>
  <c r="AC126" i="1"/>
  <c r="AB127" i="1"/>
  <c r="AC127" i="1"/>
  <c r="AD127" i="1"/>
  <c r="AE127" i="1"/>
  <c r="AE121" i="1"/>
  <c r="AD121" i="1"/>
  <c r="Y122" i="1"/>
  <c r="AC122" i="1" s="1"/>
  <c r="Y123" i="1"/>
  <c r="AB123" i="1" s="1"/>
  <c r="Y124" i="1"/>
  <c r="AF124" i="1" s="1"/>
  <c r="Y125" i="1"/>
  <c r="AD125" i="1" s="1"/>
  <c r="Y126" i="1"/>
  <c r="AD126" i="1" s="1"/>
  <c r="Y127" i="1"/>
  <c r="Y121" i="1"/>
  <c r="AC121" i="1" s="1"/>
  <c r="Y76" i="1"/>
  <c r="AD76" i="1" s="1"/>
  <c r="W36" i="5"/>
  <c r="W35" i="5"/>
  <c r="Y36" i="5"/>
  <c r="Y35" i="5"/>
  <c r="AF132" i="1" l="1"/>
  <c r="AF145" i="1"/>
  <c r="AF131" i="1"/>
  <c r="AF130" i="1"/>
  <c r="AF143" i="1"/>
  <c r="AG94" i="1"/>
  <c r="AE126" i="1"/>
  <c r="AD123" i="1"/>
  <c r="AC146" i="1"/>
  <c r="AC123" i="1"/>
  <c r="AE135" i="1"/>
  <c r="AB146" i="1"/>
  <c r="AF139" i="1"/>
  <c r="AF123" i="1"/>
  <c r="AF138" i="1"/>
  <c r="AF141" i="1"/>
  <c r="AF137" i="1"/>
  <c r="AD145" i="1"/>
  <c r="AF136" i="1"/>
  <c r="AB121" i="1"/>
  <c r="AD122" i="1"/>
  <c r="AC145" i="1"/>
  <c r="AF135" i="1"/>
  <c r="AB76" i="1"/>
  <c r="AC76" i="1"/>
  <c r="AF142" i="1"/>
  <c r="AD146" i="1"/>
  <c r="AE145" i="1"/>
  <c r="AE122" i="1"/>
  <c r="AF134" i="1"/>
  <c r="AG95" i="1"/>
  <c r="AE143" i="1"/>
  <c r="AD143" i="1"/>
  <c r="AC143" i="1"/>
  <c r="AE136" i="1"/>
  <c r="AD136" i="1"/>
  <c r="AC135" i="1"/>
  <c r="AB135" i="1"/>
  <c r="AC134" i="1"/>
  <c r="AD134" i="1"/>
  <c r="AE134" i="1"/>
  <c r="AB133" i="1"/>
  <c r="AE132" i="1"/>
  <c r="AD132" i="1"/>
  <c r="AC132" i="1"/>
  <c r="AE131" i="1"/>
  <c r="AD131" i="1"/>
  <c r="AC131" i="1"/>
  <c r="AC130" i="1"/>
  <c r="AD130" i="1"/>
  <c r="AB130" i="1"/>
  <c r="AD138" i="1"/>
  <c r="AE142" i="1"/>
  <c r="AD129" i="1"/>
  <c r="AD142" i="1"/>
  <c r="AC142" i="1"/>
  <c r="AC129" i="1"/>
  <c r="AC138" i="1"/>
  <c r="AB141" i="1"/>
  <c r="AE139" i="1"/>
  <c r="AD139" i="1"/>
  <c r="AE128" i="1"/>
  <c r="AC139" i="1"/>
  <c r="AD128" i="1"/>
  <c r="AC128" i="1"/>
  <c r="AB138" i="1"/>
  <c r="AE137" i="1"/>
  <c r="AD137" i="1"/>
  <c r="AC140" i="1"/>
  <c r="AC137" i="1"/>
  <c r="AE140" i="1"/>
  <c r="AD140" i="1"/>
  <c r="AE141" i="1"/>
  <c r="AE133" i="1"/>
  <c r="AD141" i="1"/>
  <c r="AD133" i="1"/>
  <c r="R37" i="5" l="1"/>
  <c r="X36" i="5"/>
  <c r="X35" i="5"/>
  <c r="V36" i="5"/>
  <c r="V35" i="5"/>
  <c r="U36" i="5"/>
  <c r="U35" i="5"/>
  <c r="T36" i="5"/>
  <c r="T35" i="5"/>
  <c r="S36" i="5"/>
  <c r="S35" i="5"/>
  <c r="R36" i="5"/>
  <c r="R3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5" i="5"/>
  <c r="Q28" i="5"/>
  <c r="S28" i="5" s="1"/>
  <c r="Q29" i="5"/>
  <c r="S29" i="5" s="1"/>
  <c r="T29" i="5"/>
  <c r="U29" i="5"/>
  <c r="Q21" i="5"/>
  <c r="S21" i="5"/>
  <c r="T21" i="5"/>
  <c r="U21" i="5"/>
  <c r="Q22" i="5"/>
  <c r="S22" i="5" s="1"/>
  <c r="Q23" i="5"/>
  <c r="S23" i="5" s="1"/>
  <c r="Q24" i="5"/>
  <c r="U24" i="5" s="1"/>
  <c r="Q25" i="5"/>
  <c r="S25" i="5" s="1"/>
  <c r="Q26" i="5"/>
  <c r="S26" i="5" s="1"/>
  <c r="Q27" i="5"/>
  <c r="S27" i="5" s="1"/>
  <c r="Q12" i="5"/>
  <c r="S12" i="5" s="1"/>
  <c r="Q13" i="5"/>
  <c r="S13" i="5" s="1"/>
  <c r="Q14" i="5"/>
  <c r="S14" i="5" s="1"/>
  <c r="Q15" i="5"/>
  <c r="S15" i="5" s="1"/>
  <c r="Q16" i="5"/>
  <c r="S16" i="5" s="1"/>
  <c r="Q17" i="5"/>
  <c r="S17" i="5" s="1"/>
  <c r="Q18" i="5"/>
  <c r="T18" i="5" s="1"/>
  <c r="Q19" i="5"/>
  <c r="S19" i="5" s="1"/>
  <c r="Q20" i="5"/>
  <c r="S20" i="5" s="1"/>
  <c r="T6" i="5"/>
  <c r="U5" i="5"/>
  <c r="T5" i="5"/>
  <c r="S5" i="5"/>
  <c r="Q6" i="5"/>
  <c r="U6" i="5" s="1"/>
  <c r="Q7" i="5"/>
  <c r="U7" i="5" s="1"/>
  <c r="Q8" i="5"/>
  <c r="S8" i="5" s="1"/>
  <c r="Q9" i="5"/>
  <c r="T9" i="5" s="1"/>
  <c r="Q10" i="5"/>
  <c r="T10" i="5" s="1"/>
  <c r="Q11" i="5"/>
  <c r="T11" i="5" s="1"/>
  <c r="Q5" i="5"/>
  <c r="T7" i="5" l="1"/>
  <c r="S6" i="5"/>
  <c r="U28" i="5"/>
  <c r="U12" i="5"/>
  <c r="S7" i="5"/>
  <c r="S9" i="5"/>
  <c r="U8" i="5"/>
  <c r="T8" i="5"/>
  <c r="T12" i="5"/>
  <c r="T28" i="5"/>
  <c r="U9" i="5"/>
  <c r="U25" i="5"/>
  <c r="T25" i="5"/>
  <c r="S24" i="5"/>
  <c r="T24" i="5"/>
  <c r="U23" i="5"/>
  <c r="T23" i="5"/>
  <c r="U27" i="5"/>
  <c r="T27" i="5"/>
  <c r="U22" i="5"/>
  <c r="U26" i="5"/>
  <c r="T22" i="5"/>
  <c r="T26" i="5"/>
  <c r="T20" i="5"/>
  <c r="U20" i="5"/>
  <c r="U19" i="5"/>
  <c r="T19" i="5"/>
  <c r="S18" i="5"/>
  <c r="U17" i="5"/>
  <c r="T17" i="5"/>
  <c r="U16" i="5"/>
  <c r="T16" i="5"/>
  <c r="U15" i="5"/>
  <c r="T15" i="5"/>
  <c r="U14" i="5"/>
  <c r="U18" i="5"/>
  <c r="T14" i="5"/>
  <c r="U13" i="5"/>
  <c r="T13" i="5"/>
  <c r="U11" i="5"/>
  <c r="S11" i="5"/>
  <c r="U10" i="5"/>
  <c r="S10" i="5"/>
  <c r="AB82" i="1"/>
  <c r="AF80" i="1"/>
  <c r="AE81" i="1"/>
  <c r="AC82" i="1"/>
  <c r="AD82" i="1"/>
  <c r="AE82" i="1"/>
  <c r="AB83" i="1"/>
  <c r="AC83" i="1"/>
  <c r="AD83" i="1"/>
  <c r="AF83" i="1"/>
  <c r="AG83" i="1" s="1"/>
  <c r="AB84" i="1"/>
  <c r="AC84" i="1"/>
  <c r="AD84" i="1"/>
  <c r="AE84" i="1"/>
  <c r="AF84" i="1"/>
  <c r="AB85" i="1"/>
  <c r="AC85" i="1"/>
  <c r="AD85" i="1"/>
  <c r="AF86" i="1"/>
  <c r="AB87" i="1"/>
  <c r="AC87" i="1"/>
  <c r="AD87" i="1"/>
  <c r="AE87" i="1"/>
  <c r="AF87" i="1"/>
  <c r="AG87" i="1"/>
  <c r="AB88" i="1"/>
  <c r="AG88" i="1" s="1"/>
  <c r="AC88" i="1"/>
  <c r="AF88" i="1"/>
  <c r="Y89" i="1"/>
  <c r="AD89" i="1" s="1"/>
  <c r="Y90" i="1"/>
  <c r="Y91" i="1"/>
  <c r="Y85" i="1"/>
  <c r="AE85" i="1" s="1"/>
  <c r="Y79" i="1"/>
  <c r="AF79" i="1" s="1"/>
  <c r="Y80" i="1"/>
  <c r="AB80" i="1" s="1"/>
  <c r="Y81" i="1"/>
  <c r="AD81" i="1" s="1"/>
  <c r="Y82" i="1"/>
  <c r="AF82" i="1" s="1"/>
  <c r="Y83" i="1"/>
  <c r="AE83" i="1" s="1"/>
  <c r="Y84" i="1"/>
  <c r="Y86" i="1"/>
  <c r="AE86" i="1" s="1"/>
  <c r="Y87" i="1"/>
  <c r="Y88" i="1"/>
  <c r="AD88" i="1" s="1"/>
  <c r="E79" i="1"/>
  <c r="E81" i="1"/>
  <c r="E82" i="1"/>
  <c r="E83" i="1"/>
  <c r="E84" i="1"/>
  <c r="E85" i="1"/>
  <c r="E86" i="1"/>
  <c r="E87" i="1"/>
  <c r="E88" i="1"/>
  <c r="E89" i="1"/>
  <c r="AG82" i="1" l="1"/>
  <c r="AF81" i="1"/>
  <c r="AD79" i="1"/>
  <c r="AB81" i="1"/>
  <c r="AC79" i="1"/>
  <c r="AC81" i="1"/>
  <c r="AC89" i="1"/>
  <c r="AD86" i="1"/>
  <c r="AE80" i="1"/>
  <c r="AE79" i="1"/>
  <c r="AB79" i="1"/>
  <c r="AG79" i="1" s="1"/>
  <c r="AF89" i="1"/>
  <c r="AG84" i="1"/>
  <c r="AG86" i="1"/>
  <c r="AB89" i="1"/>
  <c r="AG89" i="1" s="1"/>
  <c r="AC86" i="1"/>
  <c r="AD80" i="1"/>
  <c r="AB86" i="1"/>
  <c r="AC80" i="1"/>
  <c r="AE89" i="1"/>
  <c r="AE88" i="1"/>
  <c r="AF85" i="1"/>
  <c r="AG85" i="1" s="1"/>
  <c r="E25" i="1"/>
  <c r="E24" i="1"/>
  <c r="E23" i="1"/>
  <c r="E22" i="1"/>
  <c r="E17" i="1"/>
  <c r="E15" i="1"/>
  <c r="E16" i="1"/>
  <c r="E18" i="1"/>
  <c r="E19" i="1"/>
  <c r="E20" i="1"/>
  <c r="E21" i="1"/>
  <c r="Y15" i="1"/>
  <c r="AF15" i="1" s="1"/>
  <c r="Y16" i="1"/>
  <c r="AB16" i="1" s="1"/>
  <c r="Y17" i="1"/>
  <c r="AB17" i="1" s="1"/>
  <c r="Y18" i="1"/>
  <c r="AD18" i="1" s="1"/>
  <c r="Y19" i="1"/>
  <c r="AB19" i="1" s="1"/>
  <c r="Y20" i="1"/>
  <c r="AJ20" i="1" s="1"/>
  <c r="E14" i="1"/>
  <c r="E13" i="1"/>
  <c r="Y12" i="1"/>
  <c r="AD12" i="1" s="1"/>
  <c r="Y13" i="1"/>
  <c r="AC13" i="1" s="1"/>
  <c r="Y14" i="1"/>
  <c r="AJ14" i="1" s="1"/>
  <c r="Y21" i="1"/>
  <c r="AF21" i="1" s="1"/>
  <c r="Y22" i="1"/>
  <c r="AJ22" i="1" s="1"/>
  <c r="Y23" i="1"/>
  <c r="AB23" i="1" s="1"/>
  <c r="Y24" i="1"/>
  <c r="AC24" i="1" s="1"/>
  <c r="Y25" i="1"/>
  <c r="AB25" i="1" s="1"/>
  <c r="E12" i="1"/>
  <c r="E11" i="1"/>
  <c r="E10" i="1"/>
  <c r="E9" i="1"/>
  <c r="Y9" i="1"/>
  <c r="AD9" i="1" s="1"/>
  <c r="Y10" i="1"/>
  <c r="AJ10" i="1" s="1"/>
  <c r="Y11" i="1"/>
  <c r="AJ11" i="1" s="1"/>
  <c r="Y26" i="1"/>
  <c r="Y8" i="1"/>
  <c r="AG81" i="1" l="1"/>
  <c r="AC9" i="1"/>
  <c r="AF14" i="1"/>
  <c r="AE14" i="1"/>
  <c r="AJ9" i="1"/>
  <c r="AB12" i="1"/>
  <c r="AE20" i="1"/>
  <c r="AB9" i="1"/>
  <c r="AD20" i="1"/>
  <c r="AD14" i="1"/>
  <c r="AF9" i="1"/>
  <c r="AJ13" i="1"/>
  <c r="AC10" i="1"/>
  <c r="AC20" i="1"/>
  <c r="AC12" i="1"/>
  <c r="AE9" i="1"/>
  <c r="AJ12" i="1"/>
  <c r="AE15" i="1"/>
  <c r="AB14" i="1"/>
  <c r="AD15" i="1"/>
  <c r="AC15" i="1"/>
  <c r="AJ21" i="1"/>
  <c r="AD21" i="1"/>
  <c r="AF13" i="1"/>
  <c r="AE12" i="1"/>
  <c r="AC14" i="1"/>
  <c r="AE21" i="1"/>
  <c r="AB13" i="1"/>
  <c r="AF22" i="1"/>
  <c r="AC21" i="1"/>
  <c r="AF12" i="1"/>
  <c r="AB21" i="1"/>
  <c r="AG21" i="1" s="1"/>
  <c r="AF20" i="1"/>
  <c r="AE22" i="1"/>
  <c r="AD22" i="1"/>
  <c r="AC22" i="1"/>
  <c r="AB22" i="1"/>
  <c r="AJ17" i="1"/>
  <c r="AF23" i="1"/>
  <c r="AG23" i="1" s="1"/>
  <c r="AE23" i="1"/>
  <c r="AF17" i="1"/>
  <c r="AG17" i="1" s="1"/>
  <c r="AB15" i="1"/>
  <c r="AG15" i="1" s="1"/>
  <c r="AE17" i="1"/>
  <c r="AF11" i="1"/>
  <c r="AD17" i="1"/>
  <c r="AE11" i="1"/>
  <c r="AB20" i="1"/>
  <c r="AC17" i="1"/>
  <c r="AD11" i="1"/>
  <c r="AF19" i="1"/>
  <c r="AG19" i="1" s="1"/>
  <c r="AC11" i="1"/>
  <c r="AJ19" i="1"/>
  <c r="AE19" i="1"/>
  <c r="AB11" i="1"/>
  <c r="AJ18" i="1"/>
  <c r="AD19" i="1"/>
  <c r="AF16" i="1"/>
  <c r="AG16" i="1" s="1"/>
  <c r="AC19" i="1"/>
  <c r="AE16" i="1"/>
  <c r="AE13" i="1"/>
  <c r="AF10" i="1"/>
  <c r="AJ16" i="1"/>
  <c r="AD16" i="1"/>
  <c r="AD13" i="1"/>
  <c r="AE10" i="1"/>
  <c r="AJ15" i="1"/>
  <c r="AC16" i="1"/>
  <c r="AD10" i="1"/>
  <c r="AD23" i="1"/>
  <c r="AC23" i="1"/>
  <c r="AC18" i="1"/>
  <c r="AB18" i="1"/>
  <c r="AF18" i="1"/>
  <c r="AE18" i="1"/>
  <c r="AB10" i="1"/>
  <c r="AF25" i="1"/>
  <c r="AG25" i="1" s="1"/>
  <c r="AE25" i="1"/>
  <c r="AD25" i="1"/>
  <c r="AC25" i="1"/>
  <c r="AF24" i="1"/>
  <c r="AE24" i="1"/>
  <c r="AB24" i="1"/>
  <c r="AD24" i="1"/>
  <c r="AF8" i="1"/>
  <c r="AV75" i="1"/>
  <c r="AU75" i="1"/>
  <c r="AT75" i="1"/>
  <c r="AS75" i="1"/>
  <c r="AR75" i="1"/>
  <c r="AQ75" i="1"/>
  <c r="AP75" i="1"/>
  <c r="AN75" i="1"/>
  <c r="AV3" i="1"/>
  <c r="AU3" i="1"/>
  <c r="AT3" i="1"/>
  <c r="AS3" i="1"/>
  <c r="AR3" i="1"/>
  <c r="AQ3" i="1"/>
  <c r="AP3" i="1"/>
  <c r="AO3" i="1"/>
  <c r="AN3" i="1"/>
  <c r="AD8" i="1"/>
  <c r="E77" i="1"/>
  <c r="AN77" i="1" s="1"/>
  <c r="E78" i="1"/>
  <c r="E90" i="1"/>
  <c r="E91" i="1"/>
  <c r="E76" i="1"/>
  <c r="E26" i="1"/>
  <c r="E42" i="1"/>
  <c r="E34" i="1"/>
  <c r="E36" i="1"/>
  <c r="E37" i="1"/>
  <c r="E38" i="1"/>
  <c r="E39" i="1"/>
  <c r="E40" i="1"/>
  <c r="E41" i="1"/>
  <c r="Y42" i="1"/>
  <c r="AF42" i="1" s="1"/>
  <c r="Y41" i="1"/>
  <c r="AF41" i="1" s="1"/>
  <c r="Y40" i="1"/>
  <c r="AJ40" i="1" s="1"/>
  <c r="Y39" i="1"/>
  <c r="AB39" i="1" s="1"/>
  <c r="Y38" i="1"/>
  <c r="AE38" i="1" s="1"/>
  <c r="Y37" i="1"/>
  <c r="AJ37" i="1" s="1"/>
  <c r="Y36" i="1"/>
  <c r="AB36" i="1" s="1"/>
  <c r="AB33" i="1"/>
  <c r="Y34" i="1"/>
  <c r="AD34" i="1" s="1"/>
  <c r="Y35" i="1"/>
  <c r="AE35" i="1" s="1"/>
  <c r="E5" i="1"/>
  <c r="E6" i="1"/>
  <c r="E7" i="1"/>
  <c r="E8" i="1"/>
  <c r="E27" i="1"/>
  <c r="E4" i="1"/>
  <c r="AB27" i="1"/>
  <c r="AF26" i="1"/>
  <c r="AJ76" i="1"/>
  <c r="Y77" i="1"/>
  <c r="AD77" i="1" s="1"/>
  <c r="Y78" i="1"/>
  <c r="AD78" i="1" s="1"/>
  <c r="AD90" i="1"/>
  <c r="AD91" i="1"/>
  <c r="Y5" i="1"/>
  <c r="AF5" i="1" s="1"/>
  <c r="Y6" i="1"/>
  <c r="AJ6" i="1" s="1"/>
  <c r="Y7" i="1"/>
  <c r="AD7" i="1" s="1"/>
  <c r="Y4" i="1"/>
  <c r="AF4" i="1" s="1"/>
  <c r="AN27" i="1" l="1"/>
  <c r="AN6" i="1"/>
  <c r="AN5" i="1"/>
  <c r="AG14" i="1"/>
  <c r="AG12" i="1"/>
  <c r="AG24" i="1"/>
  <c r="AG9" i="1"/>
  <c r="AG13" i="1"/>
  <c r="AG18" i="1"/>
  <c r="AG22" i="1"/>
  <c r="AG20" i="1"/>
  <c r="AG11" i="1"/>
  <c r="AG10" i="1"/>
  <c r="AD42" i="1"/>
  <c r="AS90" i="1"/>
  <c r="AN76" i="1"/>
  <c r="AD41" i="1"/>
  <c r="AN91" i="1"/>
  <c r="AN90" i="1"/>
  <c r="AN78" i="1"/>
  <c r="AT91" i="1"/>
  <c r="AS91" i="1"/>
  <c r="AS77" i="1"/>
  <c r="AT77" i="1"/>
  <c r="AS78" i="1"/>
  <c r="AN7" i="1"/>
  <c r="AN8" i="1"/>
  <c r="AD38" i="1"/>
  <c r="AD5" i="1"/>
  <c r="AS5" i="1" s="1"/>
  <c r="AD27" i="1"/>
  <c r="AN4" i="1"/>
  <c r="AD37" i="1"/>
  <c r="AS8" i="1" s="1"/>
  <c r="AN26" i="1"/>
  <c r="AF38" i="1"/>
  <c r="AD6" i="1"/>
  <c r="AD40" i="1"/>
  <c r="AD39" i="1"/>
  <c r="AF37" i="1"/>
  <c r="AD26" i="1"/>
  <c r="AF36" i="1"/>
  <c r="AG36" i="1" s="1"/>
  <c r="AF35" i="1"/>
  <c r="AF34" i="1"/>
  <c r="AD35" i="1"/>
  <c r="AF33" i="1"/>
  <c r="AG33" i="1" s="1"/>
  <c r="AD36" i="1"/>
  <c r="AS7" i="1" s="1"/>
  <c r="AD33" i="1"/>
  <c r="AF27" i="1"/>
  <c r="AG27" i="1" s="1"/>
  <c r="AF7" i="1"/>
  <c r="AD4" i="1"/>
  <c r="AF6" i="1"/>
  <c r="AF40" i="1"/>
  <c r="AF39" i="1"/>
  <c r="AG39" i="1" s="1"/>
  <c r="AO75" i="1"/>
  <c r="AB35" i="1"/>
  <c r="AE37" i="1"/>
  <c r="AC37" i="1"/>
  <c r="AC35" i="1"/>
  <c r="AJ5" i="1"/>
  <c r="AJ33" i="1"/>
  <c r="AE40" i="1"/>
  <c r="AE33" i="1"/>
  <c r="AJ77" i="1"/>
  <c r="AC40" i="1"/>
  <c r="AJ4" i="1"/>
  <c r="AJ39" i="1"/>
  <c r="AC41" i="1"/>
  <c r="AB41" i="1"/>
  <c r="AB40" i="1"/>
  <c r="AJ41" i="1"/>
  <c r="AJ38" i="1"/>
  <c r="AC38" i="1"/>
  <c r="AB38" i="1"/>
  <c r="AE39" i="1"/>
  <c r="AE36" i="1"/>
  <c r="AJ26" i="1"/>
  <c r="AJ36" i="1"/>
  <c r="AJ91" i="1"/>
  <c r="AC39" i="1"/>
  <c r="AC36" i="1"/>
  <c r="AE42" i="1"/>
  <c r="AJ8" i="1"/>
  <c r="AJ35" i="1"/>
  <c r="AJ90" i="1"/>
  <c r="AE41" i="1"/>
  <c r="AC42" i="1"/>
  <c r="AJ7" i="1"/>
  <c r="AB42" i="1"/>
  <c r="AJ42" i="1"/>
  <c r="AJ34" i="1"/>
  <c r="AJ78" i="1"/>
  <c r="AC33" i="1"/>
  <c r="AB37" i="1"/>
  <c r="AJ27" i="1"/>
  <c r="AE34" i="1"/>
  <c r="AC34" i="1"/>
  <c r="AB34" i="1"/>
  <c r="AE27" i="1"/>
  <c r="AC27" i="1"/>
  <c r="AS76" i="1" l="1"/>
  <c r="AS27" i="1"/>
  <c r="AT90" i="1"/>
  <c r="AT76" i="1"/>
  <c r="AG35" i="1"/>
  <c r="AT78" i="1"/>
  <c r="AT5" i="1"/>
  <c r="AT27" i="1"/>
  <c r="AT7" i="1"/>
  <c r="AT8" i="1"/>
  <c r="AG37" i="1"/>
  <c r="AT6" i="1"/>
  <c r="AS6" i="1"/>
  <c r="AV27" i="1"/>
  <c r="AU27" i="1"/>
  <c r="AG34" i="1"/>
  <c r="AS4" i="1"/>
  <c r="AT4" i="1"/>
  <c r="AS26" i="1"/>
  <c r="AT26" i="1"/>
  <c r="AR27" i="1"/>
  <c r="AQ27" i="1"/>
  <c r="AP27" i="1"/>
  <c r="AO27" i="1"/>
  <c r="AG41" i="1"/>
  <c r="AG40" i="1"/>
  <c r="AG38" i="1"/>
  <c r="AG42" i="1"/>
  <c r="AE76" i="1" l="1"/>
  <c r="AB77" i="1"/>
  <c r="AB78" i="1"/>
  <c r="AE90" i="1"/>
  <c r="AB91" i="1"/>
  <c r="AE4" i="1"/>
  <c r="F3" i="3"/>
  <c r="AU76" i="1" l="1"/>
  <c r="AV76" i="1"/>
  <c r="AU90" i="1"/>
  <c r="AV90" i="1"/>
  <c r="AU4" i="1"/>
  <c r="AV4" i="1"/>
  <c r="AE6" i="1"/>
  <c r="AB26" i="1"/>
  <c r="AG26" i="1" s="1"/>
  <c r="AB7" i="1"/>
  <c r="AG7" i="1" s="1"/>
  <c r="AB5" i="1"/>
  <c r="AG5" i="1" s="1"/>
  <c r="AE8" i="1"/>
  <c r="AF91" i="1"/>
  <c r="AG91" i="1" s="1"/>
  <c r="AF90" i="1"/>
  <c r="AF78" i="1"/>
  <c r="AG78" i="1" s="1"/>
  <c r="AF77" i="1"/>
  <c r="AG77" i="1" s="1"/>
  <c r="AF76" i="1"/>
  <c r="AE77" i="1"/>
  <c r="AC77" i="1"/>
  <c r="AE5" i="1"/>
  <c r="AC5" i="1"/>
  <c r="AC90" i="1"/>
  <c r="AB90" i="1"/>
  <c r="AB6" i="1"/>
  <c r="AG6" i="1" s="1"/>
  <c r="AB8" i="1"/>
  <c r="AG8" i="1" s="1"/>
  <c r="AC7" i="1"/>
  <c r="AC8" i="1"/>
  <c r="AE7" i="1"/>
  <c r="AC6" i="1"/>
  <c r="AE91" i="1"/>
  <c r="AE26" i="1"/>
  <c r="AC91" i="1"/>
  <c r="AC26" i="1"/>
  <c r="AB4" i="1"/>
  <c r="AG4" i="1" s="1"/>
  <c r="AC4" i="1"/>
  <c r="AE78" i="1"/>
  <c r="AC78" i="1"/>
  <c r="AO76" i="1" l="1"/>
  <c r="AP76" i="1"/>
  <c r="AO78" i="1"/>
  <c r="AP78" i="1"/>
  <c r="AU77" i="1"/>
  <c r="AV77" i="1"/>
  <c r="AO91" i="1"/>
  <c r="AP91" i="1"/>
  <c r="AU78" i="1"/>
  <c r="AV78" i="1"/>
  <c r="AQ90" i="1"/>
  <c r="AR90" i="1"/>
  <c r="AR78" i="1"/>
  <c r="AQ78" i="1"/>
  <c r="AQ77" i="1"/>
  <c r="AR77" i="1"/>
  <c r="AR76" i="1"/>
  <c r="AQ76" i="1"/>
  <c r="AR91" i="1"/>
  <c r="AQ91" i="1"/>
  <c r="AU91" i="1"/>
  <c r="AV91" i="1"/>
  <c r="AO77" i="1"/>
  <c r="AP77" i="1"/>
  <c r="AV7" i="1"/>
  <c r="AU7" i="1"/>
  <c r="AU26" i="1"/>
  <c r="AV26" i="1"/>
  <c r="AR6" i="1"/>
  <c r="AQ6" i="1"/>
  <c r="AU5" i="1"/>
  <c r="AV5" i="1"/>
  <c r="AR4" i="1"/>
  <c r="AQ4" i="1"/>
  <c r="AR7" i="1"/>
  <c r="AQ7" i="1"/>
  <c r="AQ26" i="1"/>
  <c r="AR26" i="1"/>
  <c r="AO7" i="1"/>
  <c r="AP7" i="1"/>
  <c r="AQ5" i="1"/>
  <c r="AR5" i="1"/>
  <c r="AU6" i="1"/>
  <c r="AV6" i="1"/>
  <c r="AQ8" i="1"/>
  <c r="AR8" i="1"/>
  <c r="AU8" i="1"/>
  <c r="AV8" i="1"/>
  <c r="AP26" i="1"/>
  <c r="AO26" i="1"/>
  <c r="AO5" i="1"/>
  <c r="AP5" i="1"/>
  <c r="AP8" i="1"/>
  <c r="AO8" i="1"/>
  <c r="AO6" i="1"/>
  <c r="AP6" i="1"/>
  <c r="AO4" i="1"/>
  <c r="AP4" i="1"/>
  <c r="AG90" i="1"/>
  <c r="AO90" i="1" l="1"/>
  <c r="AP90" i="1"/>
</calcChain>
</file>

<file path=xl/sharedStrings.xml><?xml version="1.0" encoding="utf-8"?>
<sst xmlns="http://schemas.openxmlformats.org/spreadsheetml/2006/main" count="368" uniqueCount="217">
  <si>
    <t>sum</t>
  </si>
  <si>
    <t>lin</t>
  </si>
  <si>
    <t>1-arm</t>
  </si>
  <si>
    <t>cyc</t>
  </si>
  <si>
    <t>2arm</t>
  </si>
  <si>
    <t>Lin+MeS</t>
  </si>
  <si>
    <t>p</t>
  </si>
  <si>
    <t>Imine</t>
  </si>
  <si>
    <t>imin+lin+iminHCO</t>
  </si>
  <si>
    <t>imine +HCHO</t>
  </si>
  <si>
    <t>time, h</t>
  </si>
  <si>
    <t>imine</t>
  </si>
  <si>
    <t>z=2</t>
  </si>
  <si>
    <t>other ions to possibly consider (intensity &lt;1E07</t>
  </si>
  <si>
    <t>day</t>
  </si>
  <si>
    <t>h</t>
  </si>
  <si>
    <t>min</t>
  </si>
  <si>
    <t>z=2, pept-DTT-HCO?</t>
  </si>
  <si>
    <t>cyc+628</t>
  </si>
  <si>
    <t>AS156-A</t>
  </si>
  <si>
    <t>Time, h</t>
  </si>
  <si>
    <t>Linear</t>
  </si>
  <si>
    <t>stdev</t>
  </si>
  <si>
    <t>cyclic</t>
  </si>
  <si>
    <t>2-arm</t>
  </si>
  <si>
    <t>AS156-B</t>
  </si>
  <si>
    <t>AS210-B0.raw</t>
  </si>
  <si>
    <t>AS210-B0_20220611170334.raw</t>
  </si>
  <si>
    <t>AS210-B1-1.raw</t>
  </si>
  <si>
    <t>AS210-B1-1_20220613195102.raw</t>
  </si>
  <si>
    <t>AS210-B1-1_20220613202726.raw</t>
  </si>
  <si>
    <t>AS210-B1-1_20220613210349.raw</t>
  </si>
  <si>
    <t>AS210-B1-1_20220613214011.raw</t>
  </si>
  <si>
    <t>AS210-B1-1_20220613221634.raw</t>
  </si>
  <si>
    <t>AS210-B1-1_20220613225254.raw</t>
  </si>
  <si>
    <t>AS210-B1-1_20220613232914.raw</t>
  </si>
  <si>
    <t>AS210-B1-1_20220614000537.raw</t>
  </si>
  <si>
    <t>AS210-B1-1_20220614004158.raw</t>
  </si>
  <si>
    <t>AS210-B1-1_20220614011820.raw</t>
  </si>
  <si>
    <t>AS210-B1-1_20220614015441.raw</t>
  </si>
  <si>
    <t>AS210-B1-1_20220614023101.raw</t>
  </si>
  <si>
    <t>AS210-B1-1_20220614030722.raw</t>
  </si>
  <si>
    <t>AS210-B1-1_20220614040948.raw</t>
  </si>
  <si>
    <t>AS210-B1-1_20220614051223.raw</t>
  </si>
  <si>
    <t>AS210-B1-1_20220614092230.raw</t>
  </si>
  <si>
    <t>…</t>
  </si>
  <si>
    <t>AS210-B1-1_20220614184854.raw</t>
  </si>
  <si>
    <t>AS210-B1-1_20220614223944.raw</t>
  </si>
  <si>
    <t>AS210-B1-1_20220615083022.raw</t>
  </si>
  <si>
    <t>AS210-B1-1_20220615171600.raw</t>
  </si>
  <si>
    <t>AS210-B1-1_20220616085225.raw</t>
  </si>
  <si>
    <t>AS210-B1-1_20220616174108.raw</t>
  </si>
  <si>
    <t>AS210-C1-1.raw</t>
  </si>
  <si>
    <t>AS210-C1-1_20220613200125.raw</t>
  </si>
  <si>
    <t>AS210-C1-1_20220613203747.raw</t>
  </si>
  <si>
    <t>AS210-C1-1_20220613211411.raw</t>
  </si>
  <si>
    <t>AS210-C1-1_20220613215033.raw</t>
  </si>
  <si>
    <t>AS210-C1-1_20220613222656.raw</t>
  </si>
  <si>
    <t>AS210-C1-1_20220613230317.raw</t>
  </si>
  <si>
    <t>AS210-C1-1_20220613233937.raw</t>
  </si>
  <si>
    <t>AS210-C1-1_20220614001559.raw</t>
  </si>
  <si>
    <t>AS210-C1-1_20220614005221.raw</t>
  </si>
  <si>
    <t>AS210-C1-1_20220614012842.raw</t>
  </si>
  <si>
    <t>AS210-C1-1_20220614020503.raw</t>
  </si>
  <si>
    <t>AS210-C1-1_20220614024124.raw</t>
  </si>
  <si>
    <t>AS210-C1-1_20220614031744.raw</t>
  </si>
  <si>
    <t>AS210-C1-1_20220614042011.raw</t>
  </si>
  <si>
    <t>AS210-C1-1_20220614052245.raw</t>
  </si>
  <si>
    <t>AS210-A1-1_20220613224230.raw</t>
  </si>
  <si>
    <t>linear</t>
  </si>
  <si>
    <t>z-&gt;</t>
  </si>
  <si>
    <t>filename</t>
  </si>
  <si>
    <t>lin+ACNclust</t>
  </si>
  <si>
    <t>Cyclic p-M</t>
  </si>
  <si>
    <t>AS210-A1-1.raw</t>
  </si>
  <si>
    <t>d</t>
  </si>
  <si>
    <t>AS210-A1-1_20220613194036.raw</t>
  </si>
  <si>
    <t>AS210-A1-1_20220613201702.raw</t>
  </si>
  <si>
    <t>AS210-A1-1_20220613205325.raw</t>
  </si>
  <si>
    <t>AS210-A1-1_20220613212945.raw</t>
  </si>
  <si>
    <t>AS210-A1-1_20220613220610.raw</t>
  </si>
  <si>
    <t>AS210-A1-1_20220613231852.raw</t>
  </si>
  <si>
    <t>AS210-A1-1_20220613235513.raw</t>
  </si>
  <si>
    <t>AS210-A1-1_20220614003135.raw</t>
  </si>
  <si>
    <t>AS210-A1-1_20220614010756.raw</t>
  </si>
  <si>
    <t>AS210-A1-1_20220614014417.raw</t>
  </si>
  <si>
    <t>AS210-A1-1_20220614022037.raw</t>
  </si>
  <si>
    <t>AS210-A1-1_20220614025658.raw</t>
  </si>
  <si>
    <t>AS210-A1-1_20220614035924.raw</t>
  </si>
  <si>
    <t>AS210-A1-1_20220614050157.raw</t>
  </si>
  <si>
    <t>AS210-A1-1_20220614060429.raw</t>
  </si>
  <si>
    <t>AS210-A1-1_20220614070703.raw</t>
  </si>
  <si>
    <t>AS210-A1-1_20220614080934.raw</t>
  </si>
  <si>
    <t>AS210-A1-1_20220614091206.raw</t>
  </si>
  <si>
    <t>AS210-A1-1_20220614183831.raw</t>
  </si>
  <si>
    <t>AS210-A1-1_20220614222918.raw</t>
  </si>
  <si>
    <t>AS210-A1-1_20220615082000.raw</t>
  </si>
  <si>
    <t>AS210-A1-1_20220615170534.raw</t>
  </si>
  <si>
    <t>AS210-A1-1_20220616084201.raw</t>
  </si>
  <si>
    <t>C33H39N6O12S</t>
  </si>
  <si>
    <t>AS210-C2-1.raw</t>
  </si>
  <si>
    <t>AS210-C2-1_20220613200635.raw</t>
  </si>
  <si>
    <t>AS210-C2-1_20220613204258.raw</t>
  </si>
  <si>
    <t>AS210-C2-1_20220613211922.raw</t>
  </si>
  <si>
    <t>AS210-C2-1_20220613215544.raw</t>
  </si>
  <si>
    <t>AS210-C2-1_20220613223207.raw</t>
  </si>
  <si>
    <t>AS210-C2-1_20220613230828.raw</t>
  </si>
  <si>
    <t>AS210-C2-1_20220613234448.raw</t>
  </si>
  <si>
    <t>AS210-C2-1_20220614002110.raw</t>
  </si>
  <si>
    <t>AS210-C2-1_20220614005732.raw</t>
  </si>
  <si>
    <t>AS210-C2-1_20220614013354.raw</t>
  </si>
  <si>
    <t>AS210-C2-1_20220614021012.raw</t>
  </si>
  <si>
    <t>AS210-C2-1_20220614024633.raw</t>
  </si>
  <si>
    <t>AS210-C2-1_20220614032256.raw</t>
  </si>
  <si>
    <t>AS210-C2-1_20220614042522.raw</t>
  </si>
  <si>
    <t>AS210-C2-1_20220614052756.raw</t>
  </si>
  <si>
    <t>AS210-C2-1_20220614063028.raw</t>
  </si>
  <si>
    <t>AS210-C2-1_20220614073301.raw</t>
  </si>
  <si>
    <t>AS210-C2-1_20220614083531.raw</t>
  </si>
  <si>
    <t>AS210-C2-1_20220614094603.raw</t>
  </si>
  <si>
    <t>AS210-C2-1_20220614190428.raw</t>
  </si>
  <si>
    <t>AS210-C2-1_20220614225517.raw</t>
  </si>
  <si>
    <t>AS210-C2-1_20220615084555.raw</t>
  </si>
  <si>
    <t>AS210-C2-1_20220615173131.raw</t>
  </si>
  <si>
    <t>AS210-C2-1_20220616090758.raw</t>
  </si>
  <si>
    <t>AS210-C2-1_20220616175641.raw</t>
  </si>
  <si>
    <t>Imine+iminHCO</t>
  </si>
  <si>
    <t>hrs</t>
  </si>
  <si>
    <t>LP</t>
  </si>
  <si>
    <t>MP</t>
  </si>
  <si>
    <t>CP</t>
  </si>
  <si>
    <t>MPM</t>
  </si>
  <si>
    <t>LP-fr</t>
  </si>
  <si>
    <t>MP-fr</t>
  </si>
  <si>
    <t>CP-fr</t>
  </si>
  <si>
    <t>MPM-fr</t>
  </si>
  <si>
    <t>AS210-C1-1_20220614062517.raw</t>
  </si>
  <si>
    <t>AS210-C1-1_20220614072749.raw</t>
  </si>
  <si>
    <t>AS210-C1-1_20220614083020.raw</t>
  </si>
  <si>
    <t>AS210-C1-1_20220614094050.raw</t>
  </si>
  <si>
    <t>AS210-C1-1_20220614185916.raw</t>
  </si>
  <si>
    <t>AS210-C1-1_20220614225006.raw</t>
  </si>
  <si>
    <t>AS210-C1-1_20220615084044.raw</t>
  </si>
  <si>
    <t>AS210-C1-1_20220615172620.raw</t>
  </si>
  <si>
    <t>AS210-C1-1_20220616090247.raw</t>
  </si>
  <si>
    <t>AS210-C1-1_20220616175130.raw</t>
  </si>
  <si>
    <t>AS210-B2-1.raw</t>
  </si>
  <si>
    <t>AS210-B2-1_20220613195613.raw</t>
  </si>
  <si>
    <t>AS210-B2-1_20220613203237.raw</t>
  </si>
  <si>
    <t>AS210-B2-1_20220613210900.raw</t>
  </si>
  <si>
    <t>AS210-B2-1_20220613214522.raw</t>
  </si>
  <si>
    <t>AS210-B2-1_20220613222145.raw</t>
  </si>
  <si>
    <t>AS210-B2-1_20220613225805.raw</t>
  </si>
  <si>
    <t>AS210-B2-1_20220613233425.raw</t>
  </si>
  <si>
    <t>AS210-B2-1_20220614001048.raw</t>
  </si>
  <si>
    <t>AS210-B2-1_20220614004710.raw</t>
  </si>
  <si>
    <t>AS210-B2-1_20220614012331.raw</t>
  </si>
  <si>
    <t>AS210-B2-1_20220614015952.raw</t>
  </si>
  <si>
    <t>AS210-B2-1_20220614023613.raw</t>
  </si>
  <si>
    <t>AS210-B2-1_20220614031233.raw</t>
  </si>
  <si>
    <t>AS210-B2-1_20220614041500.raw</t>
  </si>
  <si>
    <t>AS210-B2-1_20220614051734.raw</t>
  </si>
  <si>
    <t>AS210-B2-1_20220614092741.raw</t>
  </si>
  <si>
    <t>AS210-B2-1_20220614185406.raw</t>
  </si>
  <si>
    <t>AS210-B2-1_20220614224455.raw</t>
  </si>
  <si>
    <t>AS210-B2-1_20220615083533.raw</t>
  </si>
  <si>
    <t>AS210-B2-1_20220615172109.raw</t>
  </si>
  <si>
    <t>AS210-B2-1_20220616085736.raw</t>
  </si>
  <si>
    <t>AS210-B2-1_20220616174619.raw</t>
  </si>
  <si>
    <t>AS210-A2-1.raw</t>
  </si>
  <si>
    <t>AS210-A2-1_20220613194551.raw</t>
  </si>
  <si>
    <t>AS210-A2-1_20220613202215.raw</t>
  </si>
  <si>
    <t>AS210-A2-1_20220613205838.raw</t>
  </si>
  <si>
    <t>AS210-A2-1_20220613213500.raw</t>
  </si>
  <si>
    <t>AS210-A2-1_20220613221122.raw</t>
  </si>
  <si>
    <t>AS210-A2-1_20220613224743.raw</t>
  </si>
  <si>
    <t>AS210-A2-1_20220613232405.raw</t>
  </si>
  <si>
    <t>AS210-A2-1_20220614000026.raw</t>
  </si>
  <si>
    <t>AS210-A2-1_20220614003647.raw</t>
  </si>
  <si>
    <t>AS210-A2-1_20220614011309.raw</t>
  </si>
  <si>
    <t>AS210-A2-1_20220614014929.raw</t>
  </si>
  <si>
    <t>AS210-A2-1_20220614022550.raw</t>
  </si>
  <si>
    <t>AS210-A2-1_20220614030211.raw</t>
  </si>
  <si>
    <t>AS210-A2-1_20220614040437.raw</t>
  </si>
  <si>
    <t>AS210-A2-1_20220614050712.raw</t>
  </si>
  <si>
    <t>AS210-A2-1_20220614060944.raw</t>
  </si>
  <si>
    <t>AS210-A2-1_20220614071216.raw</t>
  </si>
  <si>
    <t>AS210-A2-1_20220614081447.raw</t>
  </si>
  <si>
    <t>AS210-A2-1_20220614091719.raw</t>
  </si>
  <si>
    <t>AS210-A2-1_20220614184343.raw</t>
  </si>
  <si>
    <t>AS210-A2-1_20220614223433.raw</t>
  </si>
  <si>
    <t>AS210-A2-1_20220615082512.raw</t>
  </si>
  <si>
    <t>AS210-A2-1_20220615171049.raw</t>
  </si>
  <si>
    <t>AS210-A2-1_20220616084713.raw</t>
  </si>
  <si>
    <t>AS210A</t>
  </si>
  <si>
    <t>Average</t>
  </si>
  <si>
    <t>A1</t>
  </si>
  <si>
    <t>A2</t>
  </si>
  <si>
    <t>Time, st.dev.</t>
  </si>
  <si>
    <t>lin CP1</t>
  </si>
  <si>
    <t>lin st. dev</t>
  </si>
  <si>
    <t>1-arm st.dev.</t>
  </si>
  <si>
    <t>cyc. st dev</t>
  </si>
  <si>
    <t>Fractions</t>
  </si>
  <si>
    <t>Concentration, mM</t>
  </si>
  <si>
    <t>AS210B</t>
  </si>
  <si>
    <t>B1</t>
  </si>
  <si>
    <t>B2</t>
  </si>
  <si>
    <t>AS210C</t>
  </si>
  <si>
    <t>C1</t>
  </si>
  <si>
    <t>C2</t>
  </si>
  <si>
    <t>lin CPL3</t>
  </si>
  <si>
    <t>lin st dev</t>
  </si>
  <si>
    <t>1-arm st dev</t>
  </si>
  <si>
    <t>cyc st dev</t>
  </si>
  <si>
    <t>2-arm st dev</t>
  </si>
  <si>
    <t>Concentrations,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</si>
</sst>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164" fontId="3" fillId="0" borderId="0" xfId="0" applyNumberFormat="1" applyFont="1"/>
    <xf numFmtId="0" fontId="1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AS210-B1: CPL3, 50 Dith 50 Adap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AS210BC!$E$3:$E$27</c:f>
              <c:numCache>
                <c:formatCode>General</c:formatCode>
                <c:ptCount val="25"/>
                <c:pt idx="0">
                  <c:v>0</c:v>
                </c:pt>
                <c:pt idx="1">
                  <c:v>6.6666666666666666E-2</c:v>
                </c:pt>
                <c:pt idx="2">
                  <c:v>0.68333333333333335</c:v>
                </c:pt>
                <c:pt idx="3">
                  <c:v>1.2833333333333332</c:v>
                </c:pt>
                <c:pt idx="4">
                  <c:v>1.8833333333333333</c:v>
                </c:pt>
                <c:pt idx="5">
                  <c:v>2.5</c:v>
                </c:pt>
                <c:pt idx="6">
                  <c:v>3.1</c:v>
                </c:pt>
                <c:pt idx="7">
                  <c:v>3.7</c:v>
                </c:pt>
                <c:pt idx="8">
                  <c:v>4.3166666666666664</c:v>
                </c:pt>
                <c:pt idx="9">
                  <c:v>4.916666666666667</c:v>
                </c:pt>
                <c:pt idx="10">
                  <c:v>5.5333333333333332</c:v>
                </c:pt>
                <c:pt idx="11">
                  <c:v>6.1333333333333337</c:v>
                </c:pt>
                <c:pt idx="12">
                  <c:v>6.7333333333333334</c:v>
                </c:pt>
                <c:pt idx="13">
                  <c:v>7.35</c:v>
                </c:pt>
                <c:pt idx="14">
                  <c:v>7.95</c:v>
                </c:pt>
                <c:pt idx="15">
                  <c:v>8.9833333333333325</c:v>
                </c:pt>
                <c:pt idx="16">
                  <c:v>10.033333333333333</c:v>
                </c:pt>
                <c:pt idx="17">
                  <c:v>4.8</c:v>
                </c:pt>
                <c:pt idx="18">
                  <c:v>14.2</c:v>
                </c:pt>
                <c:pt idx="19">
                  <c:v>23.633333333333333</c:v>
                </c:pt>
                <c:pt idx="20">
                  <c:v>27.483333333333334</c:v>
                </c:pt>
                <c:pt idx="21">
                  <c:v>37.333333333333336</c:v>
                </c:pt>
                <c:pt idx="22">
                  <c:v>46.1</c:v>
                </c:pt>
                <c:pt idx="23">
                  <c:v>61.7</c:v>
                </c:pt>
                <c:pt idx="24">
                  <c:v>70.516666666666666</c:v>
                </c:pt>
              </c:numCache>
            </c:numRef>
          </c:xVal>
          <c:yVal>
            <c:numRef>
              <c:f>AS210BC!$AC$3:$AC$27</c:f>
              <c:numCache>
                <c:formatCode>General</c:formatCode>
                <c:ptCount val="25"/>
                <c:pt idx="0">
                  <c:v>0</c:v>
                </c:pt>
                <c:pt idx="1">
                  <c:v>2.9459532868050583E-2</c:v>
                </c:pt>
                <c:pt idx="2">
                  <c:v>0.14787358934734549</c:v>
                </c:pt>
                <c:pt idx="3">
                  <c:v>0.13411767420150988</c:v>
                </c:pt>
                <c:pt idx="4">
                  <c:v>0.11578275829315098</c:v>
                </c:pt>
                <c:pt idx="5">
                  <c:v>9.1173621754230119E-2</c:v>
                </c:pt>
                <c:pt idx="6">
                  <c:v>7.5532000632302546E-2</c:v>
                </c:pt>
                <c:pt idx="7">
                  <c:v>6.0688373387299953E-2</c:v>
                </c:pt>
                <c:pt idx="8">
                  <c:v>4.996287080214358E-2</c:v>
                </c:pt>
                <c:pt idx="9">
                  <c:v>4.010228655558682E-2</c:v>
                </c:pt>
                <c:pt idx="10">
                  <c:v>3.1960157904285573E-2</c:v>
                </c:pt>
                <c:pt idx="11">
                  <c:v>2.653386783513164E-2</c:v>
                </c:pt>
                <c:pt idx="12">
                  <c:v>2.3557620725055052E-2</c:v>
                </c:pt>
                <c:pt idx="13">
                  <c:v>1.8270381585412037E-2</c:v>
                </c:pt>
                <c:pt idx="14">
                  <c:v>1.4979660759875902E-2</c:v>
                </c:pt>
                <c:pt idx="15">
                  <c:v>1.1271671175162135E-2</c:v>
                </c:pt>
                <c:pt idx="16">
                  <c:v>8.3295102689910569E-3</c:v>
                </c:pt>
                <c:pt idx="17">
                  <c:v>0</c:v>
                </c:pt>
                <c:pt idx="18">
                  <c:v>2.6295745283591676E-3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27D-1746-A934-246FA9BDBC64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AS210BC!$E$3:$E$27</c:f>
              <c:numCache>
                <c:formatCode>General</c:formatCode>
                <c:ptCount val="25"/>
                <c:pt idx="0">
                  <c:v>0</c:v>
                </c:pt>
                <c:pt idx="1">
                  <c:v>6.6666666666666666E-2</c:v>
                </c:pt>
                <c:pt idx="2">
                  <c:v>0.68333333333333335</c:v>
                </c:pt>
                <c:pt idx="3">
                  <c:v>1.2833333333333332</c:v>
                </c:pt>
                <c:pt idx="4">
                  <c:v>1.8833333333333333</c:v>
                </c:pt>
                <c:pt idx="5">
                  <c:v>2.5</c:v>
                </c:pt>
                <c:pt idx="6">
                  <c:v>3.1</c:v>
                </c:pt>
                <c:pt idx="7">
                  <c:v>3.7</c:v>
                </c:pt>
                <c:pt idx="8">
                  <c:v>4.3166666666666664</c:v>
                </c:pt>
                <c:pt idx="9">
                  <c:v>4.916666666666667</c:v>
                </c:pt>
                <c:pt idx="10">
                  <c:v>5.5333333333333332</c:v>
                </c:pt>
                <c:pt idx="11">
                  <c:v>6.1333333333333337</c:v>
                </c:pt>
                <c:pt idx="12">
                  <c:v>6.7333333333333334</c:v>
                </c:pt>
                <c:pt idx="13">
                  <c:v>7.35</c:v>
                </c:pt>
                <c:pt idx="14">
                  <c:v>7.95</c:v>
                </c:pt>
                <c:pt idx="15">
                  <c:v>8.9833333333333325</c:v>
                </c:pt>
                <c:pt idx="16">
                  <c:v>10.033333333333333</c:v>
                </c:pt>
                <c:pt idx="17">
                  <c:v>4.8</c:v>
                </c:pt>
                <c:pt idx="18">
                  <c:v>14.2</c:v>
                </c:pt>
                <c:pt idx="19">
                  <c:v>23.633333333333333</c:v>
                </c:pt>
                <c:pt idx="20">
                  <c:v>27.483333333333334</c:v>
                </c:pt>
                <c:pt idx="21">
                  <c:v>37.333333333333336</c:v>
                </c:pt>
                <c:pt idx="22">
                  <c:v>46.1</c:v>
                </c:pt>
                <c:pt idx="23">
                  <c:v>61.7</c:v>
                </c:pt>
                <c:pt idx="24">
                  <c:v>70.516666666666666</c:v>
                </c:pt>
              </c:numCache>
            </c:numRef>
          </c:xVal>
          <c:yVal>
            <c:numRef>
              <c:f>AS210BC!$AD$3:$AD$27</c:f>
              <c:numCache>
                <c:formatCode>General</c:formatCode>
                <c:ptCount val="25"/>
                <c:pt idx="0">
                  <c:v>0</c:v>
                </c:pt>
                <c:pt idx="1">
                  <c:v>2.4600536703881346E-3</c:v>
                </c:pt>
                <c:pt idx="2">
                  <c:v>3.7107879315028923E-2</c:v>
                </c:pt>
                <c:pt idx="3">
                  <c:v>6.6187140238959205E-2</c:v>
                </c:pt>
                <c:pt idx="4">
                  <c:v>9.4793819336620344E-2</c:v>
                </c:pt>
                <c:pt idx="5">
                  <c:v>0.11008122724732365</c:v>
                </c:pt>
                <c:pt idx="6">
                  <c:v>0.12668408860690777</c:v>
                </c:pt>
                <c:pt idx="7">
                  <c:v>0.13256615380733094</c:v>
                </c:pt>
                <c:pt idx="8">
                  <c:v>0.14283268876434724</c:v>
                </c:pt>
                <c:pt idx="9">
                  <c:v>0.14734964816832799</c:v>
                </c:pt>
                <c:pt idx="10">
                  <c:v>0.14658726964253213</c:v>
                </c:pt>
                <c:pt idx="11">
                  <c:v>0.15042592680667527</c:v>
                </c:pt>
                <c:pt idx="12">
                  <c:v>0.16050110922457522</c:v>
                </c:pt>
                <c:pt idx="13">
                  <c:v>0.15219528396423757</c:v>
                </c:pt>
                <c:pt idx="14">
                  <c:v>0.14147636022694479</c:v>
                </c:pt>
                <c:pt idx="15">
                  <c:v>0.14555569015688352</c:v>
                </c:pt>
                <c:pt idx="16">
                  <c:v>0.14059242754648404</c:v>
                </c:pt>
                <c:pt idx="17">
                  <c:v>0</c:v>
                </c:pt>
                <c:pt idx="18">
                  <c:v>0.11416572795947315</c:v>
                </c:pt>
                <c:pt idx="19">
                  <c:v>7.2210965903997615E-2</c:v>
                </c:pt>
                <c:pt idx="20">
                  <c:v>5.9363639375638724E-2</c:v>
                </c:pt>
                <c:pt idx="21">
                  <c:v>3.6188608008325324E-2</c:v>
                </c:pt>
                <c:pt idx="22">
                  <c:v>2.8195794739644658E-2</c:v>
                </c:pt>
                <c:pt idx="23">
                  <c:v>2.1852929584341013E-2</c:v>
                </c:pt>
                <c:pt idx="24">
                  <c:v>2.0114525495683749E-2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27D-1746-A934-246FA9BDBC64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AS210BC!$E$3:$E$27</c:f>
              <c:numCache>
                <c:formatCode>General</c:formatCode>
                <c:ptCount val="25"/>
                <c:pt idx="0">
                  <c:v>0</c:v>
                </c:pt>
                <c:pt idx="1">
                  <c:v>6.6666666666666666E-2</c:v>
                </c:pt>
                <c:pt idx="2">
                  <c:v>0.68333333333333335</c:v>
                </c:pt>
                <c:pt idx="3">
                  <c:v>1.2833333333333332</c:v>
                </c:pt>
                <c:pt idx="4">
                  <c:v>1.8833333333333333</c:v>
                </c:pt>
                <c:pt idx="5">
                  <c:v>2.5</c:v>
                </c:pt>
                <c:pt idx="6">
                  <c:v>3.1</c:v>
                </c:pt>
                <c:pt idx="7">
                  <c:v>3.7</c:v>
                </c:pt>
                <c:pt idx="8">
                  <c:v>4.3166666666666664</c:v>
                </c:pt>
                <c:pt idx="9">
                  <c:v>4.916666666666667</c:v>
                </c:pt>
                <c:pt idx="10">
                  <c:v>5.5333333333333332</c:v>
                </c:pt>
                <c:pt idx="11">
                  <c:v>6.1333333333333337</c:v>
                </c:pt>
                <c:pt idx="12">
                  <c:v>6.7333333333333334</c:v>
                </c:pt>
                <c:pt idx="13">
                  <c:v>7.35</c:v>
                </c:pt>
                <c:pt idx="14">
                  <c:v>7.95</c:v>
                </c:pt>
                <c:pt idx="15">
                  <c:v>8.9833333333333325</c:v>
                </c:pt>
                <c:pt idx="16">
                  <c:v>10.033333333333333</c:v>
                </c:pt>
                <c:pt idx="17">
                  <c:v>4.8</c:v>
                </c:pt>
                <c:pt idx="18">
                  <c:v>14.2</c:v>
                </c:pt>
                <c:pt idx="19">
                  <c:v>23.633333333333333</c:v>
                </c:pt>
                <c:pt idx="20">
                  <c:v>27.483333333333334</c:v>
                </c:pt>
                <c:pt idx="21">
                  <c:v>37.333333333333336</c:v>
                </c:pt>
                <c:pt idx="22">
                  <c:v>46.1</c:v>
                </c:pt>
                <c:pt idx="23">
                  <c:v>61.7</c:v>
                </c:pt>
                <c:pt idx="24">
                  <c:v>70.516666666666666</c:v>
                </c:pt>
              </c:numCache>
            </c:numRef>
          </c:xVal>
          <c:yVal>
            <c:numRef>
              <c:f>AS210BC!$AE$3:$AE$27</c:f>
              <c:numCache>
                <c:formatCode>General</c:formatCode>
                <c:ptCount val="25"/>
                <c:pt idx="0">
                  <c:v>0</c:v>
                </c:pt>
                <c:pt idx="1">
                  <c:v>3.5797891479453711E-4</c:v>
                </c:pt>
                <c:pt idx="2">
                  <c:v>2.4804422994728967E-4</c:v>
                </c:pt>
                <c:pt idx="3">
                  <c:v>7.1157912941762223E-6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27D-1746-A934-246FA9BDBC64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937D-8C40-A8A8-B204B57D8A51}"/>
              </c:ext>
            </c:extLst>
          </c:dPt>
          <c:xVal>
            <c:numRef>
              <c:f>AS210BC!$E$3:$E$27</c:f>
              <c:numCache>
                <c:formatCode>General</c:formatCode>
                <c:ptCount val="25"/>
                <c:pt idx="0">
                  <c:v>0</c:v>
                </c:pt>
                <c:pt idx="1">
                  <c:v>6.6666666666666666E-2</c:v>
                </c:pt>
                <c:pt idx="2">
                  <c:v>0.68333333333333335</c:v>
                </c:pt>
                <c:pt idx="3">
                  <c:v>1.2833333333333332</c:v>
                </c:pt>
                <c:pt idx="4">
                  <c:v>1.8833333333333333</c:v>
                </c:pt>
                <c:pt idx="5">
                  <c:v>2.5</c:v>
                </c:pt>
                <c:pt idx="6">
                  <c:v>3.1</c:v>
                </c:pt>
                <c:pt idx="7">
                  <c:v>3.7</c:v>
                </c:pt>
                <c:pt idx="8">
                  <c:v>4.3166666666666664</c:v>
                </c:pt>
                <c:pt idx="9">
                  <c:v>4.916666666666667</c:v>
                </c:pt>
                <c:pt idx="10">
                  <c:v>5.5333333333333332</c:v>
                </c:pt>
                <c:pt idx="11">
                  <c:v>6.1333333333333337</c:v>
                </c:pt>
                <c:pt idx="12">
                  <c:v>6.7333333333333334</c:v>
                </c:pt>
                <c:pt idx="13">
                  <c:v>7.35</c:v>
                </c:pt>
                <c:pt idx="14">
                  <c:v>7.95</c:v>
                </c:pt>
                <c:pt idx="15">
                  <c:v>8.9833333333333325</c:v>
                </c:pt>
                <c:pt idx="16">
                  <c:v>10.033333333333333</c:v>
                </c:pt>
                <c:pt idx="17">
                  <c:v>4.8</c:v>
                </c:pt>
                <c:pt idx="18">
                  <c:v>14.2</c:v>
                </c:pt>
                <c:pt idx="19">
                  <c:v>23.633333333333333</c:v>
                </c:pt>
                <c:pt idx="20">
                  <c:v>27.483333333333334</c:v>
                </c:pt>
                <c:pt idx="21">
                  <c:v>37.333333333333336</c:v>
                </c:pt>
                <c:pt idx="22">
                  <c:v>46.1</c:v>
                </c:pt>
                <c:pt idx="23">
                  <c:v>61.7</c:v>
                </c:pt>
                <c:pt idx="24">
                  <c:v>70.516666666666666</c:v>
                </c:pt>
              </c:numCache>
            </c:numRef>
          </c:xVal>
          <c:yVal>
            <c:numRef>
              <c:f>AS210BC!$AG$3:$AG$27</c:f>
              <c:numCache>
                <c:formatCode>General</c:formatCode>
                <c:ptCount val="25"/>
                <c:pt idx="0">
                  <c:v>1</c:v>
                </c:pt>
                <c:pt idx="1">
                  <c:v>0.96772243454676665</c:v>
                </c:pt>
                <c:pt idx="2">
                  <c:v>0.8147704871076783</c:v>
                </c:pt>
                <c:pt idx="3">
                  <c:v>0.79964959682942394</c:v>
                </c:pt>
                <c:pt idx="4">
                  <c:v>0.7893437104101042</c:v>
                </c:pt>
                <c:pt idx="5">
                  <c:v>0.79864793159603731</c:v>
                </c:pt>
                <c:pt idx="6">
                  <c:v>0.7976166985563139</c:v>
                </c:pt>
                <c:pt idx="7">
                  <c:v>0.80658986997531124</c:v>
                </c:pt>
                <c:pt idx="8">
                  <c:v>0.80702211606241403</c:v>
                </c:pt>
                <c:pt idx="9">
                  <c:v>0.81233940949729777</c:v>
                </c:pt>
                <c:pt idx="10">
                  <c:v>0.82123064775933552</c:v>
                </c:pt>
                <c:pt idx="11">
                  <c:v>0.82277807256749358</c:v>
                </c:pt>
                <c:pt idx="12">
                  <c:v>0.81562500529647997</c:v>
                </c:pt>
                <c:pt idx="13">
                  <c:v>0.82927860541688181</c:v>
                </c:pt>
                <c:pt idx="14">
                  <c:v>0.84322494776742329</c:v>
                </c:pt>
                <c:pt idx="15">
                  <c:v>0.84280384326766666</c:v>
                </c:pt>
                <c:pt idx="16">
                  <c:v>0.85070551612610357</c:v>
                </c:pt>
                <c:pt idx="17">
                  <c:v>0</c:v>
                </c:pt>
                <c:pt idx="18">
                  <c:v>0.8828285475206622</c:v>
                </c:pt>
                <c:pt idx="19">
                  <c:v>0.92751701972931411</c:v>
                </c:pt>
                <c:pt idx="20">
                  <c:v>0.94042843287363287</c:v>
                </c:pt>
                <c:pt idx="21">
                  <c:v>0.96363659793833412</c:v>
                </c:pt>
                <c:pt idx="22">
                  <c:v>0.97166332208376094</c:v>
                </c:pt>
                <c:pt idx="23">
                  <c:v>0.97810354215028461</c:v>
                </c:pt>
                <c:pt idx="24">
                  <c:v>0.97987797664140852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27D-1746-A934-246FA9BD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165952"/>
        <c:axId val="235175936"/>
      </c:scatterChart>
      <c:valAx>
        <c:axId val="235165952"/>
        <c:scaling>
          <c:orientation val="minMax"/>
          <c:max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75936"/>
        <c:crosses val="autoZero"/>
        <c:crossBetween val="midCat"/>
      </c:valAx>
      <c:valAx>
        <c:axId val="2351759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6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AS210-C2: CPL3, 10 DIth 50 Adap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AS210BC!$AC$120:$AC$146</c:f>
              <c:numCache>
                <c:formatCode>General</c:formatCode>
                <c:ptCount val="27"/>
                <c:pt idx="0">
                  <c:v>0</c:v>
                </c:pt>
                <c:pt idx="1">
                  <c:v>2.0374294484802692E-2</c:v>
                </c:pt>
                <c:pt idx="2">
                  <c:v>0.19085762151781754</c:v>
                </c:pt>
                <c:pt idx="3">
                  <c:v>0.22978233196708259</c:v>
                </c:pt>
                <c:pt idx="4">
                  <c:v>0.21271952286578213</c:v>
                </c:pt>
                <c:pt idx="5">
                  <c:v>0.17856877549788402</c:v>
                </c:pt>
                <c:pt idx="6">
                  <c:v>0.14967293554299557</c:v>
                </c:pt>
                <c:pt idx="7">
                  <c:v>0.11960884446648042</c:v>
                </c:pt>
                <c:pt idx="8">
                  <c:v>0.10348892815240024</c:v>
                </c:pt>
                <c:pt idx="9">
                  <c:v>8.5485755008291198E-2</c:v>
                </c:pt>
                <c:pt idx="10">
                  <c:v>7.4061359956500858E-2</c:v>
                </c:pt>
                <c:pt idx="11">
                  <c:v>6.2358022047276841E-2</c:v>
                </c:pt>
                <c:pt idx="12">
                  <c:v>5.2742741732017338E-2</c:v>
                </c:pt>
                <c:pt idx="13">
                  <c:v>4.2533734984706709E-2</c:v>
                </c:pt>
                <c:pt idx="14">
                  <c:v>3.6163632523589791E-2</c:v>
                </c:pt>
                <c:pt idx="15">
                  <c:v>2.7211649286460752E-2</c:v>
                </c:pt>
                <c:pt idx="16">
                  <c:v>2.1577499683164098E-2</c:v>
                </c:pt>
                <c:pt idx="17">
                  <c:v>1.6603444212168805E-2</c:v>
                </c:pt>
                <c:pt idx="18">
                  <c:v>1.3404074195421853E-2</c:v>
                </c:pt>
                <c:pt idx="19">
                  <c:v>1.0760653860011635E-2</c:v>
                </c:pt>
                <c:pt idx="20">
                  <c:v>8.0574563102309166E-3</c:v>
                </c:pt>
                <c:pt idx="21">
                  <c:v>1.691872945914034E-3</c:v>
                </c:pt>
                <c:pt idx="22">
                  <c:v>4.7891442084957245E-3</c:v>
                </c:pt>
                <c:pt idx="23">
                  <c:v>9.8525629497267229E-5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0FB-784D-93F4-9E4B0C3101D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AS210BC!$AD$120:$AD$146</c:f>
              <c:numCache>
                <c:formatCode>General</c:formatCode>
                <c:ptCount val="27"/>
                <c:pt idx="0">
                  <c:v>0</c:v>
                </c:pt>
                <c:pt idx="1">
                  <c:v>1.5448886836050711E-3</c:v>
                </c:pt>
                <c:pt idx="2">
                  <c:v>3.9105869984921632E-2</c:v>
                </c:pt>
                <c:pt idx="3">
                  <c:v>9.2666133562295333E-2</c:v>
                </c:pt>
                <c:pt idx="4">
                  <c:v>0.13658911621546366</c:v>
                </c:pt>
                <c:pt idx="5">
                  <c:v>0.16897520724314921</c:v>
                </c:pt>
                <c:pt idx="6">
                  <c:v>0.19864492955398225</c:v>
                </c:pt>
                <c:pt idx="7">
                  <c:v>0.22038639811135738</c:v>
                </c:pt>
                <c:pt idx="8">
                  <c:v>0.23506430140162787</c:v>
                </c:pt>
                <c:pt idx="9">
                  <c:v>0.25738698174873786</c:v>
                </c:pt>
                <c:pt idx="10">
                  <c:v>0.26743109204154009</c:v>
                </c:pt>
                <c:pt idx="11">
                  <c:v>0.2801128422628405</c:v>
                </c:pt>
                <c:pt idx="12">
                  <c:v>0.29088890087207281</c:v>
                </c:pt>
                <c:pt idx="13">
                  <c:v>0.2863462479891381</c:v>
                </c:pt>
                <c:pt idx="14">
                  <c:v>0.29171171722961631</c:v>
                </c:pt>
                <c:pt idx="15">
                  <c:v>0.29159336009727849</c:v>
                </c:pt>
                <c:pt idx="16">
                  <c:v>0.29299857880640967</c:v>
                </c:pt>
                <c:pt idx="17">
                  <c:v>0.2926376463953162</c:v>
                </c:pt>
                <c:pt idx="18">
                  <c:v>0.30210709863399116</c:v>
                </c:pt>
                <c:pt idx="19">
                  <c:v>0.28650049122602622</c:v>
                </c:pt>
                <c:pt idx="20">
                  <c:v>0.28128781301508454</c:v>
                </c:pt>
                <c:pt idx="21">
                  <c:v>0.24328376421896628</c:v>
                </c:pt>
                <c:pt idx="22">
                  <c:v>0.22612314203978182</c:v>
                </c:pt>
                <c:pt idx="23">
                  <c:v>0.17692097026558271</c:v>
                </c:pt>
                <c:pt idx="24">
                  <c:v>0.1460743678843042</c:v>
                </c:pt>
                <c:pt idx="25">
                  <c:v>9.9107917156744302E-2</c:v>
                </c:pt>
                <c:pt idx="26">
                  <c:v>7.7979856676893097E-2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0FB-784D-93F4-9E4B0C3101D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AS210BC!$AE$120:$AE$146</c:f>
              <c:numCache>
                <c:formatCode>General</c:formatCode>
                <c:ptCount val="27"/>
                <c:pt idx="0">
                  <c:v>0</c:v>
                </c:pt>
                <c:pt idx="1">
                  <c:v>2.5320036412860967E-4</c:v>
                </c:pt>
                <c:pt idx="2">
                  <c:v>1.4882967359873885E-3</c:v>
                </c:pt>
                <c:pt idx="3">
                  <c:v>5.3292704380829476E-4</c:v>
                </c:pt>
                <c:pt idx="4">
                  <c:v>2.0125184148564253E-4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30FB-784D-93F4-9E4B0C3101D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AS210BC!$AG$120:$AG$146</c:f>
              <c:numCache>
                <c:formatCode>General</c:formatCode>
                <c:ptCount val="27"/>
                <c:pt idx="0">
                  <c:v>1</c:v>
                </c:pt>
                <c:pt idx="1">
                  <c:v>0.97980957192329976</c:v>
                </c:pt>
                <c:pt idx="2">
                  <c:v>0.77173118259726137</c:v>
                </c:pt>
                <c:pt idx="3">
                  <c:v>0.6810605534272115</c:v>
                </c:pt>
                <c:pt idx="4">
                  <c:v>0.65535936720766674</c:v>
                </c:pt>
                <c:pt idx="5">
                  <c:v>0.65837302593090563</c:v>
                </c:pt>
                <c:pt idx="6">
                  <c:v>0.65951563450825945</c:v>
                </c:pt>
                <c:pt idx="7">
                  <c:v>0.66868423955350309</c:v>
                </c:pt>
                <c:pt idx="8">
                  <c:v>0.67140811238531883</c:v>
                </c:pt>
                <c:pt idx="9">
                  <c:v>0.66751528638267354</c:v>
                </c:pt>
                <c:pt idx="10">
                  <c:v>0.66998036240850256</c:v>
                </c:pt>
                <c:pt idx="11">
                  <c:v>0.67045311522275597</c:v>
                </c:pt>
                <c:pt idx="12">
                  <c:v>0.67088561655590251</c:v>
                </c:pt>
                <c:pt idx="13">
                  <c:v>0.68658677968248205</c:v>
                </c:pt>
                <c:pt idx="14">
                  <c:v>0.68871902799225415</c:v>
                </c:pt>
                <c:pt idx="15">
                  <c:v>0.70087219490500818</c:v>
                </c:pt>
                <c:pt idx="16">
                  <c:v>0.70620390569162705</c:v>
                </c:pt>
                <c:pt idx="17">
                  <c:v>0.71232911507373309</c:v>
                </c:pt>
                <c:pt idx="18">
                  <c:v>0.70892848536364794</c:v>
                </c:pt>
                <c:pt idx="19">
                  <c:v>0.72836447538577276</c:v>
                </c:pt>
                <c:pt idx="20">
                  <c:v>0.73862485864307059</c:v>
                </c:pt>
                <c:pt idx="21">
                  <c:v>0.79536536602332475</c:v>
                </c:pt>
                <c:pt idx="22">
                  <c:v>0.81391123852887881</c:v>
                </c:pt>
                <c:pt idx="23">
                  <c:v>0.87965107313712732</c:v>
                </c:pt>
                <c:pt idx="24">
                  <c:v>0.91576153690062778</c:v>
                </c:pt>
                <c:pt idx="25">
                  <c:v>0.97946373329842262</c:v>
                </c:pt>
                <c:pt idx="26">
                  <c:v>1.0064294906091515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30FB-784D-93F4-9E4B0C310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487232"/>
        <c:axId val="235489152"/>
      </c:scatterChart>
      <c:valAx>
        <c:axId val="235487232"/>
        <c:scaling>
          <c:orientation val="minMax"/>
          <c:max val="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489152"/>
        <c:crosses val="autoZero"/>
        <c:crossBetween val="midCat"/>
      </c:valAx>
      <c:valAx>
        <c:axId val="2354891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48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AS210-C2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AS210BC!$AB$120:$AB$146</c:f>
              <c:numCache>
                <c:formatCode>General</c:formatCode>
                <c:ptCount val="27"/>
                <c:pt idx="0">
                  <c:v>1</c:v>
                </c:pt>
                <c:pt idx="1">
                  <c:v>0.95690355843931851</c:v>
                </c:pt>
                <c:pt idx="2">
                  <c:v>0.72774589064537976</c:v>
                </c:pt>
                <c:pt idx="3">
                  <c:v>0.63082016006062847</c:v>
                </c:pt>
                <c:pt idx="4">
                  <c:v>0.60070606322013109</c:v>
                </c:pt>
                <c:pt idx="5">
                  <c:v>0.59919031741046258</c:v>
                </c:pt>
                <c:pt idx="6">
                  <c:v>0.59155552646079845</c:v>
                </c:pt>
                <c:pt idx="7">
                  <c:v>0.59324038905113397</c:v>
                </c:pt>
                <c:pt idx="8">
                  <c:v>0.58937030544158786</c:v>
                </c:pt>
                <c:pt idx="9">
                  <c:v>0.58621153828671602</c:v>
                </c:pt>
                <c:pt idx="10">
                  <c:v>0.58185598680865702</c:v>
                </c:pt>
                <c:pt idx="11">
                  <c:v>0.57700903671015946</c:v>
                </c:pt>
                <c:pt idx="12">
                  <c:v>0.5705257525951356</c:v>
                </c:pt>
                <c:pt idx="13">
                  <c:v>0.5805159244236342</c:v>
                </c:pt>
                <c:pt idx="14">
                  <c:v>0.57499992089045393</c:v>
                </c:pt>
                <c:pt idx="15">
                  <c:v>0.57881966822725339</c:v>
                </c:pt>
                <c:pt idx="16">
                  <c:v>0.57826193351902122</c:v>
                </c:pt>
                <c:pt idx="17">
                  <c:v>0.57724799686654249</c:v>
                </c:pt>
                <c:pt idx="18">
                  <c:v>0.56377352193789931</c:v>
                </c:pt>
                <c:pt idx="19">
                  <c:v>0.5752513497728321</c:v>
                </c:pt>
                <c:pt idx="20">
                  <c:v>0.57294392425928586</c:v>
                </c:pt>
                <c:pt idx="21">
                  <c:v>0.56826286513490287</c:v>
                </c:pt>
                <c:pt idx="22">
                  <c:v>0.55708841568373946</c:v>
                </c:pt>
                <c:pt idx="23">
                  <c:v>0.55436525283286142</c:v>
                </c:pt>
                <c:pt idx="24">
                  <c:v>0.55293185320104365</c:v>
                </c:pt>
                <c:pt idx="25">
                  <c:v>0.54167321898193854</c:v>
                </c:pt>
                <c:pt idx="26">
                  <c:v>0.53141234028191742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081-564C-ACCB-B6D9F6E2675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AS210BC!$AC$120:$AC$146</c:f>
              <c:numCache>
                <c:formatCode>General</c:formatCode>
                <c:ptCount val="27"/>
                <c:pt idx="0">
                  <c:v>0</c:v>
                </c:pt>
                <c:pt idx="1">
                  <c:v>2.0374294484802692E-2</c:v>
                </c:pt>
                <c:pt idx="2">
                  <c:v>0.19085762151781754</c:v>
                </c:pt>
                <c:pt idx="3">
                  <c:v>0.22978233196708259</c:v>
                </c:pt>
                <c:pt idx="4">
                  <c:v>0.21271952286578213</c:v>
                </c:pt>
                <c:pt idx="5">
                  <c:v>0.17856877549788402</c:v>
                </c:pt>
                <c:pt idx="6">
                  <c:v>0.14967293554299557</c:v>
                </c:pt>
                <c:pt idx="7">
                  <c:v>0.11960884446648042</c:v>
                </c:pt>
                <c:pt idx="8">
                  <c:v>0.10348892815240024</c:v>
                </c:pt>
                <c:pt idx="9">
                  <c:v>8.5485755008291198E-2</c:v>
                </c:pt>
                <c:pt idx="10">
                  <c:v>7.4061359956500858E-2</c:v>
                </c:pt>
                <c:pt idx="11">
                  <c:v>6.2358022047276841E-2</c:v>
                </c:pt>
                <c:pt idx="12">
                  <c:v>5.2742741732017338E-2</c:v>
                </c:pt>
                <c:pt idx="13">
                  <c:v>4.2533734984706709E-2</c:v>
                </c:pt>
                <c:pt idx="14">
                  <c:v>3.6163632523589791E-2</c:v>
                </c:pt>
                <c:pt idx="15">
                  <c:v>2.7211649286460752E-2</c:v>
                </c:pt>
                <c:pt idx="16">
                  <c:v>2.1577499683164098E-2</c:v>
                </c:pt>
                <c:pt idx="17">
                  <c:v>1.6603444212168805E-2</c:v>
                </c:pt>
                <c:pt idx="18">
                  <c:v>1.3404074195421853E-2</c:v>
                </c:pt>
                <c:pt idx="19">
                  <c:v>1.0760653860011635E-2</c:v>
                </c:pt>
                <c:pt idx="20">
                  <c:v>8.0574563102309166E-3</c:v>
                </c:pt>
                <c:pt idx="21">
                  <c:v>1.691872945914034E-3</c:v>
                </c:pt>
                <c:pt idx="22">
                  <c:v>4.7891442084957245E-3</c:v>
                </c:pt>
                <c:pt idx="23">
                  <c:v>9.8525629497267229E-5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C081-564C-ACCB-B6D9F6E2675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AS210BC!$AD$120:$AD$146</c:f>
              <c:numCache>
                <c:formatCode>General</c:formatCode>
                <c:ptCount val="27"/>
                <c:pt idx="0">
                  <c:v>0</c:v>
                </c:pt>
                <c:pt idx="1">
                  <c:v>1.5448886836050711E-3</c:v>
                </c:pt>
                <c:pt idx="2">
                  <c:v>3.9105869984921632E-2</c:v>
                </c:pt>
                <c:pt idx="3">
                  <c:v>9.2666133562295333E-2</c:v>
                </c:pt>
                <c:pt idx="4">
                  <c:v>0.13658911621546366</c:v>
                </c:pt>
                <c:pt idx="5">
                  <c:v>0.16897520724314921</c:v>
                </c:pt>
                <c:pt idx="6">
                  <c:v>0.19864492955398225</c:v>
                </c:pt>
                <c:pt idx="7">
                  <c:v>0.22038639811135738</c:v>
                </c:pt>
                <c:pt idx="8">
                  <c:v>0.23506430140162787</c:v>
                </c:pt>
                <c:pt idx="9">
                  <c:v>0.25738698174873786</c:v>
                </c:pt>
                <c:pt idx="10">
                  <c:v>0.26743109204154009</c:v>
                </c:pt>
                <c:pt idx="11">
                  <c:v>0.2801128422628405</c:v>
                </c:pt>
                <c:pt idx="12">
                  <c:v>0.29088890087207281</c:v>
                </c:pt>
                <c:pt idx="13">
                  <c:v>0.2863462479891381</c:v>
                </c:pt>
                <c:pt idx="14">
                  <c:v>0.29171171722961631</c:v>
                </c:pt>
                <c:pt idx="15">
                  <c:v>0.29159336009727849</c:v>
                </c:pt>
                <c:pt idx="16">
                  <c:v>0.29299857880640967</c:v>
                </c:pt>
                <c:pt idx="17">
                  <c:v>0.2926376463953162</c:v>
                </c:pt>
                <c:pt idx="18">
                  <c:v>0.30210709863399116</c:v>
                </c:pt>
                <c:pt idx="19">
                  <c:v>0.28650049122602622</c:v>
                </c:pt>
                <c:pt idx="20">
                  <c:v>0.28128781301508454</c:v>
                </c:pt>
                <c:pt idx="21">
                  <c:v>0.24328376421896628</c:v>
                </c:pt>
                <c:pt idx="22">
                  <c:v>0.22612314203978182</c:v>
                </c:pt>
                <c:pt idx="23">
                  <c:v>0.17692097026558271</c:v>
                </c:pt>
                <c:pt idx="24">
                  <c:v>0.1460743678843042</c:v>
                </c:pt>
                <c:pt idx="25">
                  <c:v>9.9107917156744302E-2</c:v>
                </c:pt>
                <c:pt idx="26">
                  <c:v>7.7979856676893097E-2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C081-564C-ACCB-B6D9F6E2675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AS210BC!$AE$120:$AE$146</c:f>
              <c:numCache>
                <c:formatCode>General</c:formatCode>
                <c:ptCount val="27"/>
                <c:pt idx="0">
                  <c:v>0</c:v>
                </c:pt>
                <c:pt idx="1">
                  <c:v>2.5320036412860967E-4</c:v>
                </c:pt>
                <c:pt idx="2">
                  <c:v>1.4882967359873885E-3</c:v>
                </c:pt>
                <c:pt idx="3">
                  <c:v>5.3292704380829476E-4</c:v>
                </c:pt>
                <c:pt idx="4">
                  <c:v>2.0125184148564253E-4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081-564C-ACCB-B6D9F6E2675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AS210BC!$E$120:$E$146</c:f>
              <c:numCache>
                <c:formatCode>General</c:formatCode>
                <c:ptCount val="27"/>
                <c:pt idx="0">
                  <c:v>0</c:v>
                </c:pt>
                <c:pt idx="1">
                  <c:v>0.05</c:v>
                </c:pt>
                <c:pt idx="2">
                  <c:v>0.56666666666666665</c:v>
                </c:pt>
                <c:pt idx="3">
                  <c:v>1.1833333333333333</c:v>
                </c:pt>
                <c:pt idx="4">
                  <c:v>1.7833333333333332</c:v>
                </c:pt>
                <c:pt idx="5">
                  <c:v>2.3833333333333333</c:v>
                </c:pt>
                <c:pt idx="6">
                  <c:v>3</c:v>
                </c:pt>
                <c:pt idx="7">
                  <c:v>3.6</c:v>
                </c:pt>
                <c:pt idx="8">
                  <c:v>4.2</c:v>
                </c:pt>
                <c:pt idx="9">
                  <c:v>4.8166666666666664</c:v>
                </c:pt>
                <c:pt idx="10">
                  <c:v>5.416666666666667</c:v>
                </c:pt>
                <c:pt idx="11">
                  <c:v>6.0166666666666666</c:v>
                </c:pt>
                <c:pt idx="12">
                  <c:v>6.6333333333333337</c:v>
                </c:pt>
                <c:pt idx="13">
                  <c:v>7.2333333333333334</c:v>
                </c:pt>
                <c:pt idx="14">
                  <c:v>7.833333333333333</c:v>
                </c:pt>
                <c:pt idx="15">
                  <c:v>8.8833333333333329</c:v>
                </c:pt>
                <c:pt idx="16">
                  <c:v>9.9333333333333336</c:v>
                </c:pt>
                <c:pt idx="17">
                  <c:v>10.966666666666667</c:v>
                </c:pt>
                <c:pt idx="18">
                  <c:v>12.016666666666667</c:v>
                </c:pt>
                <c:pt idx="19">
                  <c:v>13.05</c:v>
                </c:pt>
                <c:pt idx="20">
                  <c:v>14.233333333333333</c:v>
                </c:pt>
                <c:pt idx="21">
                  <c:v>23.533333333333335</c:v>
                </c:pt>
                <c:pt idx="22">
                  <c:v>27.383333333333333</c:v>
                </c:pt>
                <c:pt idx="23">
                  <c:v>37.233333333333334</c:v>
                </c:pt>
                <c:pt idx="24">
                  <c:v>45.983333333333334</c:v>
                </c:pt>
                <c:pt idx="25">
                  <c:v>61.6</c:v>
                </c:pt>
                <c:pt idx="26">
                  <c:v>70.400000000000006</c:v>
                </c:pt>
              </c:numCache>
            </c:numRef>
          </c:xVal>
          <c:yVal>
            <c:numRef>
              <c:f>AS210BC!$AF$120:$AF$146</c:f>
              <c:numCache>
                <c:formatCode>General</c:formatCode>
                <c:ptCount val="27"/>
                <c:pt idx="0">
                  <c:v>0</c:v>
                </c:pt>
                <c:pt idx="1">
                  <c:v>2.0924058028144947E-2</c:v>
                </c:pt>
                <c:pt idx="2">
                  <c:v>4.0802321115893679E-2</c:v>
                </c:pt>
                <c:pt idx="3">
                  <c:v>4.6131038514593596E-2</c:v>
                </c:pt>
                <c:pt idx="4">
                  <c:v>4.956803012299079E-2</c:v>
                </c:pt>
                <c:pt idx="5">
                  <c:v>5.3040061061051268E-2</c:v>
                </c:pt>
                <c:pt idx="6">
                  <c:v>5.9796466364200086E-2</c:v>
                </c:pt>
                <c:pt idx="7">
                  <c:v>6.6334402256349567E-2</c:v>
                </c:pt>
                <c:pt idx="8">
                  <c:v>7.1343597870343375E-2</c:v>
                </c:pt>
                <c:pt idx="9">
                  <c:v>6.9976705617323554E-2</c:v>
                </c:pt>
                <c:pt idx="10">
                  <c:v>7.5497896045900389E-2</c:v>
                </c:pt>
                <c:pt idx="11">
                  <c:v>7.9356226900738222E-2</c:v>
                </c:pt>
                <c:pt idx="12">
                  <c:v>8.4141881671759108E-2</c:v>
                </c:pt>
                <c:pt idx="13">
                  <c:v>8.8788148611985113E-2</c:v>
                </c:pt>
                <c:pt idx="14">
                  <c:v>9.5021781040462064E-2</c:v>
                </c:pt>
                <c:pt idx="15">
                  <c:v>9.980931532230071E-2</c:v>
                </c:pt>
                <c:pt idx="16">
                  <c:v>0.10380097057787128</c:v>
                </c:pt>
                <c:pt idx="17">
                  <c:v>0.10949537667967384</c:v>
                </c:pt>
                <c:pt idx="18">
                  <c:v>0.11572098494999265</c:v>
                </c:pt>
                <c:pt idx="19">
                  <c:v>0.12167427699131468</c:v>
                </c:pt>
                <c:pt idx="20">
                  <c:v>0.13119972095580634</c:v>
                </c:pt>
                <c:pt idx="21">
                  <c:v>0.17174826827322848</c:v>
                </c:pt>
                <c:pt idx="22">
                  <c:v>0.1916884166892435</c:v>
                </c:pt>
                <c:pt idx="23">
                  <c:v>0.23739978949666674</c:v>
                </c:pt>
                <c:pt idx="24">
                  <c:v>0.26012973501083642</c:v>
                </c:pt>
                <c:pt idx="25">
                  <c:v>0.3037258476238418</c:v>
                </c:pt>
                <c:pt idx="26">
                  <c:v>0.32965106480420131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C081-564C-ACCB-B6D9F6E2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531264"/>
        <c:axId val="255722624"/>
      </c:scatterChart>
      <c:valAx>
        <c:axId val="23553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722624"/>
        <c:crosses val="autoZero"/>
        <c:crossBetween val="midCat"/>
      </c:valAx>
      <c:valAx>
        <c:axId val="2557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53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AS210-A1:</a:t>
            </a:r>
            <a:r>
              <a:rPr lang="en-GB" baseline="0"/>
              <a:t> CP1, 50 Dith 50 Adap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AS210A!$E$4:$E$29</c:f>
              <c:numCache>
                <c:formatCode>General</c:formatCode>
                <c:ptCount val="26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3.0833333333333335</c:v>
                </c:pt>
                <c:pt idx="7">
                  <c:v>3.6833333333333336</c:v>
                </c:pt>
                <c:pt idx="8">
                  <c:v>4.2833333333333332</c:v>
                </c:pt>
                <c:pt idx="9">
                  <c:v>4.9000000000000004</c:v>
                </c:pt>
                <c:pt idx="10">
                  <c:v>5.5</c:v>
                </c:pt>
                <c:pt idx="11">
                  <c:v>6.1166666666666663</c:v>
                </c:pt>
                <c:pt idx="12">
                  <c:v>6.7166666666666668</c:v>
                </c:pt>
                <c:pt idx="13">
                  <c:v>7.3166666666666664</c:v>
                </c:pt>
                <c:pt idx="14">
                  <c:v>7.9333333333333336</c:v>
                </c:pt>
                <c:pt idx="15">
                  <c:v>8.9666666666666668</c:v>
                </c:pt>
                <c:pt idx="16">
                  <c:v>10.016666666666667</c:v>
                </c:pt>
                <c:pt idx="17">
                  <c:v>11.05</c:v>
                </c:pt>
                <c:pt idx="18">
                  <c:v>12.1</c:v>
                </c:pt>
                <c:pt idx="19">
                  <c:v>13.133333333333333</c:v>
                </c:pt>
                <c:pt idx="20">
                  <c:v>14.183333333333334</c:v>
                </c:pt>
                <c:pt idx="21">
                  <c:v>23.616666666666667</c:v>
                </c:pt>
                <c:pt idx="22">
                  <c:v>27.466666666666665</c:v>
                </c:pt>
                <c:pt idx="23">
                  <c:v>37.31666666666667</c:v>
                </c:pt>
                <c:pt idx="24">
                  <c:v>46.06666666666667</c:v>
                </c:pt>
                <c:pt idx="25">
                  <c:v>61.68333333333333</c:v>
                </c:pt>
              </c:numCache>
            </c:numRef>
          </c:xVal>
          <c:yVal>
            <c:numRef>
              <c:f>AS210A!$S$4:$S$29</c:f>
              <c:numCache>
                <c:formatCode>General</c:formatCode>
                <c:ptCount val="26"/>
                <c:pt idx="0">
                  <c:v>1</c:v>
                </c:pt>
                <c:pt idx="1">
                  <c:v>0.98936575815017147</c:v>
                </c:pt>
                <c:pt idx="2">
                  <c:v>0.78991238800944252</c:v>
                </c:pt>
                <c:pt idx="3">
                  <c:v>0.74349125779241509</c:v>
                </c:pt>
                <c:pt idx="4">
                  <c:v>0.73847739809818602</c:v>
                </c:pt>
                <c:pt idx="5">
                  <c:v>0.75334268716916741</c:v>
                </c:pt>
                <c:pt idx="6">
                  <c:v>0.75729030143038512</c:v>
                </c:pt>
                <c:pt idx="7">
                  <c:v>0.76826590028875585</c:v>
                </c:pt>
                <c:pt idx="8">
                  <c:v>0.77647071876123119</c:v>
                </c:pt>
                <c:pt idx="9">
                  <c:v>0.79150571390702129</c:v>
                </c:pt>
                <c:pt idx="10">
                  <c:v>0.80045574015537357</c:v>
                </c:pt>
                <c:pt idx="11">
                  <c:v>0.80303399432777678</c:v>
                </c:pt>
                <c:pt idx="12">
                  <c:v>0.81990011193628132</c:v>
                </c:pt>
                <c:pt idx="13">
                  <c:v>0.83050176577252532</c:v>
                </c:pt>
                <c:pt idx="14">
                  <c:v>0.82953450410878471</c:v>
                </c:pt>
                <c:pt idx="15">
                  <c:v>0.8459858237999196</c:v>
                </c:pt>
                <c:pt idx="16">
                  <c:v>0.86086783092992947</c:v>
                </c:pt>
                <c:pt idx="17">
                  <c:v>0.87511813254079862</c:v>
                </c:pt>
                <c:pt idx="18">
                  <c:v>0.88777612743624679</c:v>
                </c:pt>
                <c:pt idx="19">
                  <c:v>0.89779713015331919</c:v>
                </c:pt>
                <c:pt idx="20">
                  <c:v>0.90684257225387632</c:v>
                </c:pt>
                <c:pt idx="21">
                  <c:v>0.96271240332745278</c:v>
                </c:pt>
                <c:pt idx="22">
                  <c:v>0.97484346838417157</c:v>
                </c:pt>
                <c:pt idx="23">
                  <c:v>0.99093909881219</c:v>
                </c:pt>
                <c:pt idx="24">
                  <c:v>0.99665745374646963</c:v>
                </c:pt>
                <c:pt idx="25">
                  <c:v>0.9993566810810347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336-B24F-BAB3-1EEC529091C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AS210A!$E$4:$E$29</c:f>
              <c:numCache>
                <c:formatCode>General</c:formatCode>
                <c:ptCount val="26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3.0833333333333335</c:v>
                </c:pt>
                <c:pt idx="7">
                  <c:v>3.6833333333333336</c:v>
                </c:pt>
                <c:pt idx="8">
                  <c:v>4.2833333333333332</c:v>
                </c:pt>
                <c:pt idx="9">
                  <c:v>4.9000000000000004</c:v>
                </c:pt>
                <c:pt idx="10">
                  <c:v>5.5</c:v>
                </c:pt>
                <c:pt idx="11">
                  <c:v>6.1166666666666663</c:v>
                </c:pt>
                <c:pt idx="12">
                  <c:v>6.7166666666666668</c:v>
                </c:pt>
                <c:pt idx="13">
                  <c:v>7.3166666666666664</c:v>
                </c:pt>
                <c:pt idx="14">
                  <c:v>7.9333333333333336</c:v>
                </c:pt>
                <c:pt idx="15">
                  <c:v>8.9666666666666668</c:v>
                </c:pt>
                <c:pt idx="16">
                  <c:v>10.016666666666667</c:v>
                </c:pt>
                <c:pt idx="17">
                  <c:v>11.05</c:v>
                </c:pt>
                <c:pt idx="18">
                  <c:v>12.1</c:v>
                </c:pt>
                <c:pt idx="19">
                  <c:v>13.133333333333333</c:v>
                </c:pt>
                <c:pt idx="20">
                  <c:v>14.183333333333334</c:v>
                </c:pt>
                <c:pt idx="21">
                  <c:v>23.616666666666667</c:v>
                </c:pt>
                <c:pt idx="22">
                  <c:v>27.466666666666665</c:v>
                </c:pt>
                <c:pt idx="23">
                  <c:v>37.31666666666667</c:v>
                </c:pt>
                <c:pt idx="24">
                  <c:v>46.06666666666667</c:v>
                </c:pt>
                <c:pt idx="25">
                  <c:v>61.68333333333333</c:v>
                </c:pt>
              </c:numCache>
            </c:numRef>
          </c:xVal>
          <c:yVal>
            <c:numRef>
              <c:f>AS210A!$T$4:$T$29</c:f>
              <c:numCache>
                <c:formatCode>General</c:formatCode>
                <c:ptCount val="26"/>
                <c:pt idx="0">
                  <c:v>0</c:v>
                </c:pt>
                <c:pt idx="1">
                  <c:v>2.2237553623882292E-3</c:v>
                </c:pt>
                <c:pt idx="2">
                  <c:v>3.0760370199394284E-3</c:v>
                </c:pt>
                <c:pt idx="3">
                  <c:v>3.4812017274612143E-3</c:v>
                </c:pt>
                <c:pt idx="4">
                  <c:v>3.1525404141837031E-3</c:v>
                </c:pt>
                <c:pt idx="5">
                  <c:v>2.6652225892376934E-3</c:v>
                </c:pt>
                <c:pt idx="6">
                  <c:v>2.3635086089493955E-3</c:v>
                </c:pt>
                <c:pt idx="7">
                  <c:v>2.3350968536369411E-3</c:v>
                </c:pt>
                <c:pt idx="8">
                  <c:v>1.7374625296930758E-3</c:v>
                </c:pt>
                <c:pt idx="9">
                  <c:v>1.4240894946732894E-3</c:v>
                </c:pt>
                <c:pt idx="10">
                  <c:v>1.2191416020331492E-3</c:v>
                </c:pt>
                <c:pt idx="11">
                  <c:v>1.1782954138375727E-3</c:v>
                </c:pt>
                <c:pt idx="12">
                  <c:v>8.8760141282284699E-4</c:v>
                </c:pt>
                <c:pt idx="13">
                  <c:v>7.0019712095790272E-4</c:v>
                </c:pt>
                <c:pt idx="14">
                  <c:v>6.0590357029050295E-4</c:v>
                </c:pt>
                <c:pt idx="15">
                  <c:v>4.2350854414861442E-4</c:v>
                </c:pt>
                <c:pt idx="16">
                  <c:v>3.04569146985425E-4</c:v>
                </c:pt>
                <c:pt idx="17">
                  <c:v>1.8281891826963422E-4</c:v>
                </c:pt>
                <c:pt idx="18">
                  <c:v>1.6515967195580088E-4</c:v>
                </c:pt>
                <c:pt idx="19">
                  <c:v>1.2092673020338239E-4</c:v>
                </c:pt>
                <c:pt idx="20">
                  <c:v>8.3158612619319781E-5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336-B24F-BAB3-1EEC529091CC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AS210A!$E$4:$E$29</c:f>
              <c:numCache>
                <c:formatCode>General</c:formatCode>
                <c:ptCount val="26"/>
                <c:pt idx="0">
                  <c:v>0</c:v>
                </c:pt>
                <c:pt idx="1">
                  <c:v>3.3333333333333333E-2</c:v>
                </c:pt>
                <c:pt idx="2">
                  <c:v>0.65</c:v>
                </c:pt>
                <c:pt idx="3">
                  <c:v>1.2666666666666666</c:v>
                </c:pt>
                <c:pt idx="4">
                  <c:v>1.8666666666666667</c:v>
                </c:pt>
                <c:pt idx="5">
                  <c:v>2.4666666666666668</c:v>
                </c:pt>
                <c:pt idx="6">
                  <c:v>3.0833333333333335</c:v>
                </c:pt>
                <c:pt idx="7">
                  <c:v>3.6833333333333336</c:v>
                </c:pt>
                <c:pt idx="8">
                  <c:v>4.2833333333333332</c:v>
                </c:pt>
                <c:pt idx="9">
                  <c:v>4.9000000000000004</c:v>
                </c:pt>
                <c:pt idx="10">
                  <c:v>5.5</c:v>
                </c:pt>
                <c:pt idx="11">
                  <c:v>6.1166666666666663</c:v>
                </c:pt>
                <c:pt idx="12">
                  <c:v>6.7166666666666668</c:v>
                </c:pt>
                <c:pt idx="13">
                  <c:v>7.3166666666666664</c:v>
                </c:pt>
                <c:pt idx="14">
                  <c:v>7.9333333333333336</c:v>
                </c:pt>
                <c:pt idx="15">
                  <c:v>8.9666666666666668</c:v>
                </c:pt>
                <c:pt idx="16">
                  <c:v>10.016666666666667</c:v>
                </c:pt>
                <c:pt idx="17">
                  <c:v>11.05</c:v>
                </c:pt>
                <c:pt idx="18">
                  <c:v>12.1</c:v>
                </c:pt>
                <c:pt idx="19">
                  <c:v>13.133333333333333</c:v>
                </c:pt>
                <c:pt idx="20">
                  <c:v>14.183333333333334</c:v>
                </c:pt>
                <c:pt idx="21">
                  <c:v>23.616666666666667</c:v>
                </c:pt>
                <c:pt idx="22">
                  <c:v>27.466666666666665</c:v>
                </c:pt>
                <c:pt idx="23">
                  <c:v>37.31666666666667</c:v>
                </c:pt>
                <c:pt idx="24">
                  <c:v>46.06666666666667</c:v>
                </c:pt>
                <c:pt idx="25">
                  <c:v>61.68333333333333</c:v>
                </c:pt>
              </c:numCache>
            </c:numRef>
          </c:xVal>
          <c:yVal>
            <c:numRef>
              <c:f>AS210A!$U$4:$U$29</c:f>
              <c:numCache>
                <c:formatCode>General</c:formatCode>
                <c:ptCount val="26"/>
                <c:pt idx="0">
                  <c:v>0</c:v>
                </c:pt>
                <c:pt idx="1">
                  <c:v>8.4104864874403606E-3</c:v>
                </c:pt>
                <c:pt idx="2">
                  <c:v>0.20701157497061806</c:v>
                </c:pt>
                <c:pt idx="3">
                  <c:v>0.25302754048012355</c:v>
                </c:pt>
                <c:pt idx="4">
                  <c:v>0.25837006148763031</c:v>
                </c:pt>
                <c:pt idx="5">
                  <c:v>0.24399209024159482</c:v>
                </c:pt>
                <c:pt idx="6">
                  <c:v>0.24034618996066548</c:v>
                </c:pt>
                <c:pt idx="7">
                  <c:v>0.22939900285760723</c:v>
                </c:pt>
                <c:pt idx="8">
                  <c:v>0.22179181870907574</c:v>
                </c:pt>
                <c:pt idx="9">
                  <c:v>0.20707019659830539</c:v>
                </c:pt>
                <c:pt idx="10">
                  <c:v>0.19832511824259325</c:v>
                </c:pt>
                <c:pt idx="11">
                  <c:v>0.19578771025838565</c:v>
                </c:pt>
                <c:pt idx="12">
                  <c:v>0.17921228665089589</c:v>
                </c:pt>
                <c:pt idx="13">
                  <c:v>0.16879803710651667</c:v>
                </c:pt>
                <c:pt idx="14">
                  <c:v>0.16985959232092482</c:v>
                </c:pt>
                <c:pt idx="15">
                  <c:v>0.15359066765593177</c:v>
                </c:pt>
                <c:pt idx="16">
                  <c:v>0.13882759992308508</c:v>
                </c:pt>
                <c:pt idx="17">
                  <c:v>0.12469904854093165</c:v>
                </c:pt>
                <c:pt idx="18">
                  <c:v>0.11205871289179735</c:v>
                </c:pt>
                <c:pt idx="19">
                  <c:v>0.10208194311647738</c:v>
                </c:pt>
                <c:pt idx="20">
                  <c:v>9.3074269133504348E-2</c:v>
                </c:pt>
                <c:pt idx="21">
                  <c:v>3.7287596672547253E-2</c:v>
                </c:pt>
                <c:pt idx="22">
                  <c:v>2.5156531615828436E-2</c:v>
                </c:pt>
                <c:pt idx="23">
                  <c:v>9.0609011878099357E-3</c:v>
                </c:pt>
                <c:pt idx="24">
                  <c:v>3.3425462535304476E-3</c:v>
                </c:pt>
                <c:pt idx="25">
                  <c:v>6.4331891896524259E-4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336-B24F-BAB3-1EEC52909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882176"/>
        <c:axId val="254884096"/>
      </c:scatterChart>
      <c:valAx>
        <c:axId val="254882176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84096"/>
        <c:crosses val="autoZero"/>
        <c:crossBetween val="midCat"/>
      </c:valAx>
      <c:valAx>
        <c:axId val="2548840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82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135169</xdr:colOff>
      <xdr:row>9</xdr:row>
      <xdr:rowOff>27369</xdr:rowOff>
    </xdr:from>
    <xdr:to>
      <xdr:col>49</xdr:col>
      <xdr:colOff>524932</xdr:colOff>
      <xdr:row>36</xdr:row>
      <xdr:rowOff>27805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07FC598-B391-CB41-E209-46E324933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499146</xdr:colOff>
      <xdr:row>73</xdr:row>
      <xdr:rowOff>60647</xdr:rowOff>
    </xdr:from>
    <xdr:to>
      <xdr:col>49</xdr:col>
      <xdr:colOff>435647</xdr:colOff>
      <xdr:row>91</xdr:row>
      <xdr:rowOff>151331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41E409C-1988-46B9-EC23-DA3D1870F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396429</xdr:colOff>
      <xdr:row>124</xdr:row>
      <xdr:rowOff>28960</xdr:rowOff>
    </xdr:from>
    <xdr:to>
      <xdr:col>49</xdr:col>
      <xdr:colOff>415419</xdr:colOff>
      <xdr:row>150</xdr:row>
      <xdr:rowOff>144803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4597618-5E6E-FCD8-12AB-96235B0A7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617682</xdr:colOff>
      <xdr:row>5</xdr:row>
      <xdr:rowOff>163946</xdr:rowOff>
    </xdr:from>
    <xdr:to>
      <xdr:col>30</xdr:col>
      <xdr:colOff>138545</xdr:colOff>
      <xdr:row>27</xdr:row>
      <xdr:rowOff>34636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B078ADC-112E-0AFD-1979-8D578F0F2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47"/>
  <sheetViews>
    <sheetView topLeftCell="A112" zoomScaleNormal="80" workbookViewId="0">
      <pane xSplit="1" topLeftCell="Q1" activePane="topRight" state="frozen"/>
      <selection pane="topRight" activeCell="Z139" sqref="Z139"/>
    </sheetView>
  </sheetViews>
  <sheetFormatPr defaultColWidth="9.1328125" defaultRowHeight="14.25" x14ac:dyDescent="0.45"/>
  <cols>
    <col min="1" max="1" width="29" customWidth="1"/>
    <col min="2" max="2" width="8" customWidth="1"/>
    <col min="3" max="4" width="9.796875" customWidth="1"/>
    <col min="5" max="5" width="9.46484375" customWidth="1"/>
    <col min="6" max="6" width="11.1328125" bestFit="1" customWidth="1"/>
    <col min="7" max="7" width="12.1328125" bestFit="1" customWidth="1"/>
    <col min="9" max="9" width="12.1328125" bestFit="1" customWidth="1"/>
    <col min="11" max="11" width="11.1328125" bestFit="1" customWidth="1"/>
    <col min="13" max="13" width="9.33203125" bestFit="1" customWidth="1"/>
    <col min="15" max="15" width="12.1328125" bestFit="1" customWidth="1"/>
    <col min="16" max="16" width="9.33203125" bestFit="1" customWidth="1"/>
    <col min="18" max="18" width="12.1328125" bestFit="1" customWidth="1"/>
    <col min="19" max="19" width="9.33203125" bestFit="1" customWidth="1"/>
    <col min="21" max="21" width="12.1328125" bestFit="1" customWidth="1"/>
    <col min="23" max="23" width="9.33203125" bestFit="1" customWidth="1"/>
    <col min="25" max="25" width="11.1328125" bestFit="1" customWidth="1"/>
    <col min="28" max="29" width="9.33203125" bestFit="1" customWidth="1"/>
    <col min="30" max="30" width="10.796875" bestFit="1" customWidth="1"/>
  </cols>
  <sheetData>
    <row r="1" spans="1:56" ht="15" x14ac:dyDescent="0.2">
      <c r="B1" t="s">
        <v>14</v>
      </c>
      <c r="C1" t="s">
        <v>15</v>
      </c>
      <c r="D1" t="s">
        <v>16</v>
      </c>
      <c r="E1" t="s">
        <v>10</v>
      </c>
      <c r="O1" t="s">
        <v>11</v>
      </c>
      <c r="R1" t="s">
        <v>9</v>
      </c>
      <c r="U1" t="s">
        <v>12</v>
      </c>
      <c r="W1" t="s">
        <v>17</v>
      </c>
    </row>
    <row r="2" spans="1:56" ht="15" x14ac:dyDescent="0.2">
      <c r="F2" s="1">
        <v>395.87</v>
      </c>
      <c r="G2" s="1">
        <v>593.29999999999995</v>
      </c>
      <c r="H2" s="1"/>
      <c r="I2" s="1">
        <v>693.3</v>
      </c>
      <c r="J2" s="1"/>
      <c r="K2" s="1">
        <v>669.3</v>
      </c>
      <c r="L2" s="1"/>
      <c r="M2" s="1">
        <v>793.3</v>
      </c>
      <c r="O2" s="1">
        <v>399.87869999999998</v>
      </c>
      <c r="P2" s="1">
        <v>599.30340000000001</v>
      </c>
      <c r="R2" s="1">
        <v>409.54649999999998</v>
      </c>
      <c r="S2" s="1">
        <v>614.30830000000003</v>
      </c>
      <c r="U2" s="1">
        <v>628.28800000000001</v>
      </c>
      <c r="W2" s="1">
        <v>684.31370000000004</v>
      </c>
      <c r="Y2" t="s">
        <v>0</v>
      </c>
      <c r="AB2" t="s">
        <v>1</v>
      </c>
      <c r="AC2" t="s">
        <v>2</v>
      </c>
      <c r="AD2" t="s">
        <v>18</v>
      </c>
      <c r="AE2" t="s">
        <v>4</v>
      </c>
      <c r="AF2" t="s">
        <v>7</v>
      </c>
      <c r="AG2" t="s">
        <v>8</v>
      </c>
      <c r="AJ2">
        <v>684</v>
      </c>
      <c r="AM2" t="s">
        <v>19</v>
      </c>
      <c r="AN2" t="s">
        <v>20</v>
      </c>
      <c r="AO2" t="s">
        <v>21</v>
      </c>
      <c r="AP2" t="s">
        <v>22</v>
      </c>
      <c r="AQ2" t="s">
        <v>2</v>
      </c>
      <c r="AR2" t="s">
        <v>22</v>
      </c>
      <c r="AS2" t="s">
        <v>23</v>
      </c>
      <c r="AT2" t="s">
        <v>22</v>
      </c>
      <c r="AU2" t="s">
        <v>24</v>
      </c>
      <c r="AV2" t="s">
        <v>22</v>
      </c>
      <c r="BD2" t="s">
        <v>13</v>
      </c>
    </row>
    <row r="3" spans="1:56" ht="15" x14ac:dyDescent="0.2">
      <c r="A3" t="s">
        <v>26</v>
      </c>
      <c r="B3">
        <v>1</v>
      </c>
      <c r="C3">
        <v>19</v>
      </c>
      <c r="D3">
        <v>12</v>
      </c>
      <c r="E3">
        <v>0</v>
      </c>
      <c r="F3">
        <v>1786901853.5940001</v>
      </c>
      <c r="G3">
        <v>123028283.449</v>
      </c>
      <c r="AC3">
        <v>0</v>
      </c>
      <c r="AD3">
        <v>0</v>
      </c>
      <c r="AE3">
        <v>0</v>
      </c>
      <c r="AG3">
        <v>1</v>
      </c>
      <c r="AN3">
        <f t="shared" ref="AN3:AN8" si="0">AVERAGE(E3,E32)</f>
        <v>0</v>
      </c>
      <c r="AO3">
        <f t="shared" ref="AO3:AO8" si="1">AVERAGE(AG3,AG32)</f>
        <v>1</v>
      </c>
      <c r="AP3">
        <f t="shared" ref="AP3:AP8" si="2">_xlfn.STDEV.P(AG3,AG32)</f>
        <v>0</v>
      </c>
      <c r="AQ3">
        <f t="shared" ref="AQ3:AQ8" si="3">AVERAGE(AC3,AC32)</f>
        <v>0</v>
      </c>
      <c r="AR3">
        <f t="shared" ref="AR3:AR8" si="4">_xlfn.STDEV.P(AC3,AC32)</f>
        <v>0</v>
      </c>
      <c r="AS3">
        <f t="shared" ref="AS3:AS8" si="5">AVERAGE(AD3,AD32)</f>
        <v>0</v>
      </c>
      <c r="AT3">
        <f t="shared" ref="AT3:AT8" si="6">_xlfn.STDEV.P(AD3,AD32)</f>
        <v>0</v>
      </c>
      <c r="AU3">
        <f t="shared" ref="AU3:AU8" si="7">AVERAGE(AE3,AE32)</f>
        <v>0</v>
      </c>
      <c r="AV3">
        <f t="shared" ref="AV3:AV8" si="8">STDEV(AE3,AE32)</f>
        <v>0</v>
      </c>
      <c r="BC3">
        <v>3</v>
      </c>
      <c r="BD3">
        <v>405.87459999999999</v>
      </c>
    </row>
    <row r="4" spans="1:56" ht="15" x14ac:dyDescent="0.2">
      <c r="A4" t="s">
        <v>28</v>
      </c>
      <c r="B4">
        <v>1</v>
      </c>
      <c r="C4">
        <v>19</v>
      </c>
      <c r="D4">
        <v>16</v>
      </c>
      <c r="E4">
        <f>(B4-$B$3)*24+(C4-$C$3)+(D4-$D$3)/60</f>
        <v>6.6666666666666666E-2</v>
      </c>
      <c r="F4">
        <v>3586042711.4689999</v>
      </c>
      <c r="G4">
        <v>235115121.06400001</v>
      </c>
      <c r="I4">
        <v>118375150.711</v>
      </c>
      <c r="K4">
        <v>9885059.1180000007</v>
      </c>
      <c r="M4">
        <v>1438441.274</v>
      </c>
      <c r="O4">
        <v>59499042.307999998</v>
      </c>
      <c r="P4">
        <v>3265387.4780000001</v>
      </c>
      <c r="R4">
        <v>4608134.5810000002</v>
      </c>
      <c r="Y4">
        <f>SUM(F4,G4,I4,K4,M4,O4,P4,R4,S4,U4,W4)</f>
        <v>4018229048.0030003</v>
      </c>
      <c r="AB4">
        <f t="shared" ref="AB4:AB26" si="9">(F4+G4)/Y4</f>
        <v>0.95095570383974459</v>
      </c>
      <c r="AC4">
        <f t="shared" ref="AC4:AC26" si="10">I4/Y4</f>
        <v>2.9459532868050583E-2</v>
      </c>
      <c r="AD4">
        <f>(K4+U4)/Y4</f>
        <v>2.4600536703881346E-3</v>
      </c>
      <c r="AE4">
        <f t="shared" ref="AE4:AE26" si="11">M4/Y4</f>
        <v>3.5797891479453711E-4</v>
      </c>
      <c r="AF4">
        <f t="shared" ref="AF4:AF26" si="12">SUM(O4:P4)/Y4</f>
        <v>1.5619923363301796E-2</v>
      </c>
      <c r="AG4">
        <f t="shared" ref="AG4:AG26" si="13">AB4+AF4+SUM(R4:S4)/Y4</f>
        <v>0.96772243454676665</v>
      </c>
      <c r="AJ4">
        <f>W4/Y4</f>
        <v>0</v>
      </c>
      <c r="AN4">
        <f t="shared" si="0"/>
        <v>0.05</v>
      </c>
      <c r="AO4">
        <f t="shared" si="1"/>
        <v>0.97968296446212833</v>
      </c>
      <c r="AP4">
        <f t="shared" si="2"/>
        <v>1.1960529915361673E-2</v>
      </c>
      <c r="AQ4">
        <f t="shared" si="3"/>
        <v>1.8647200376618305E-2</v>
      </c>
      <c r="AR4">
        <f t="shared" si="4"/>
        <v>1.0812332491432276E-2</v>
      </c>
      <c r="AS4">
        <f t="shared" si="5"/>
        <v>1.4908457038561183E-3</v>
      </c>
      <c r="AT4">
        <f t="shared" si="6"/>
        <v>9.6920796653201624E-4</v>
      </c>
      <c r="AU4">
        <f t="shared" si="7"/>
        <v>4.718764412023819E-3</v>
      </c>
      <c r="AV4">
        <f t="shared" si="8"/>
        <v>6.1670819927815501E-3</v>
      </c>
      <c r="BC4">
        <v>3</v>
      </c>
      <c r="BD4">
        <v>412.53070000000002</v>
      </c>
    </row>
    <row r="5" spans="1:56" ht="15" x14ac:dyDescent="0.2">
      <c r="A5" t="s">
        <v>29</v>
      </c>
      <c r="B5">
        <v>1</v>
      </c>
      <c r="C5">
        <v>19</v>
      </c>
      <c r="D5">
        <v>53</v>
      </c>
      <c r="E5">
        <f t="shared" ref="E5:E27" si="14">(B5-$B$3)*24+(C5-$C$3)+(D5-$D$3)/60</f>
        <v>0.68333333333333335</v>
      </c>
      <c r="F5">
        <v>2932560131.8850002</v>
      </c>
      <c r="G5">
        <v>183893075.706</v>
      </c>
      <c r="I5">
        <v>593046561.972</v>
      </c>
      <c r="K5">
        <v>148821032.52500001</v>
      </c>
      <c r="M5">
        <v>994780.59900000005</v>
      </c>
      <c r="O5">
        <v>133700647.94</v>
      </c>
      <c r="P5">
        <v>7947839.926</v>
      </c>
      <c r="R5">
        <v>9286329.8599999994</v>
      </c>
      <c r="S5">
        <v>246434.008</v>
      </c>
      <c r="Y5">
        <f t="shared" ref="Y5:Y6" si="15">SUM(F5,G5,I5,K5,M5,O5,P5,R5,S5,U5,W5)</f>
        <v>4010496834.4210005</v>
      </c>
      <c r="AB5">
        <f t="shared" si="9"/>
        <v>0.77707409736452904</v>
      </c>
      <c r="AC5">
        <f t="shared" si="10"/>
        <v>0.14787358934734549</v>
      </c>
      <c r="AD5">
        <f t="shared" ref="AD5:AD42" si="16">(K5+U5)/Y5</f>
        <v>3.7107879315028923E-2</v>
      </c>
      <c r="AE5">
        <f t="shared" si="11"/>
        <v>2.4804422994728967E-4</v>
      </c>
      <c r="AF5">
        <f>SUM(O5:P5)/Y5</f>
        <v>3.5319436397572901E-2</v>
      </c>
      <c r="AG5">
        <f t="shared" si="13"/>
        <v>0.8147704871076783</v>
      </c>
      <c r="AJ5">
        <f t="shared" ref="AJ5:AJ27" si="17">W5/Y5</f>
        <v>0</v>
      </c>
      <c r="AN5">
        <f t="shared" si="0"/>
        <v>0.66666666666666674</v>
      </c>
      <c r="AO5">
        <f t="shared" si="1"/>
        <v>0.81794129398761772</v>
      </c>
      <c r="AP5">
        <f t="shared" si="2"/>
        <v>3.1708068799394251E-3</v>
      </c>
      <c r="AQ5">
        <f t="shared" si="3"/>
        <v>0.14676170600496166</v>
      </c>
      <c r="AR5">
        <f t="shared" si="4"/>
        <v>1.1118833423838237E-3</v>
      </c>
      <c r="AS5">
        <f t="shared" si="5"/>
        <v>3.5036282597943232E-2</v>
      </c>
      <c r="AT5">
        <f t="shared" si="6"/>
        <v>2.0715967170856914E-3</v>
      </c>
      <c r="AU5">
        <f t="shared" si="7"/>
        <v>2.6071740947747823E-4</v>
      </c>
      <c r="AV5">
        <f t="shared" si="8"/>
        <v>1.7922582369981749E-5</v>
      </c>
      <c r="BC5">
        <v>2</v>
      </c>
      <c r="BD5">
        <v>607.30020000000002</v>
      </c>
    </row>
    <row r="6" spans="1:56" ht="15" x14ac:dyDescent="0.2">
      <c r="A6" t="s">
        <v>30</v>
      </c>
      <c r="B6">
        <v>1</v>
      </c>
      <c r="C6">
        <v>20</v>
      </c>
      <c r="D6">
        <v>29</v>
      </c>
      <c r="E6">
        <f t="shared" si="14"/>
        <v>1.2833333333333332</v>
      </c>
      <c r="F6">
        <v>2907640614.165</v>
      </c>
      <c r="G6">
        <v>178488138.71200001</v>
      </c>
      <c r="I6">
        <v>547250859.06700003</v>
      </c>
      <c r="K6">
        <v>270068576.49900001</v>
      </c>
      <c r="M6">
        <v>29035.120999999999</v>
      </c>
      <c r="O6">
        <v>152375096.56400001</v>
      </c>
      <c r="P6">
        <v>8707358.6009999998</v>
      </c>
      <c r="R6">
        <v>15507721.41</v>
      </c>
      <c r="S6">
        <v>154002.269</v>
      </c>
      <c r="W6">
        <v>156984.14799999999</v>
      </c>
      <c r="Y6">
        <f t="shared" si="15"/>
        <v>4080378386.5559993</v>
      </c>
      <c r="AB6">
        <f t="shared" si="9"/>
        <v>0.75633396232201267</v>
      </c>
      <c r="AC6">
        <f t="shared" si="10"/>
        <v>0.13411767420150988</v>
      </c>
      <c r="AD6">
        <f t="shared" si="16"/>
        <v>6.6187140238959205E-2</v>
      </c>
      <c r="AE6">
        <f t="shared" si="11"/>
        <v>7.1157912941762223E-6</v>
      </c>
      <c r="AF6">
        <f t="shared" si="12"/>
        <v>3.9477332713979005E-2</v>
      </c>
      <c r="AG6">
        <f t="shared" si="13"/>
        <v>0.79964959682942394</v>
      </c>
      <c r="AJ6">
        <f t="shared" si="17"/>
        <v>3.8472938813035138E-5</v>
      </c>
      <c r="AN6">
        <f t="shared" si="0"/>
        <v>1.2666666666666666</v>
      </c>
      <c r="AO6">
        <f t="shared" si="1"/>
        <v>0.80217671815515768</v>
      </c>
      <c r="AP6">
        <f t="shared" si="2"/>
        <v>2.5271213257337388E-3</v>
      </c>
      <c r="AQ6">
        <f t="shared" si="3"/>
        <v>0.13377443552297402</v>
      </c>
      <c r="AR6">
        <f t="shared" si="4"/>
        <v>3.432386785358621E-4</v>
      </c>
      <c r="AS6">
        <f t="shared" si="5"/>
        <v>6.4004819394331197E-2</v>
      </c>
      <c r="AT6">
        <f t="shared" si="6"/>
        <v>2.1823208446280148E-3</v>
      </c>
      <c r="AU6">
        <f t="shared" si="7"/>
        <v>3.5578956470881112E-6</v>
      </c>
      <c r="AV6">
        <f t="shared" si="8"/>
        <v>5.0316242776202061E-6</v>
      </c>
      <c r="BC6">
        <v>2</v>
      </c>
      <c r="BD6">
        <v>643.29240000000004</v>
      </c>
    </row>
    <row r="7" spans="1:56" ht="15" x14ac:dyDescent="0.2">
      <c r="A7" t="s">
        <v>31</v>
      </c>
      <c r="B7">
        <v>1</v>
      </c>
      <c r="C7">
        <v>21</v>
      </c>
      <c r="D7">
        <v>5</v>
      </c>
      <c r="E7">
        <f t="shared" si="14"/>
        <v>1.8833333333333333</v>
      </c>
      <c r="F7">
        <v>2813078019.1149998</v>
      </c>
      <c r="G7">
        <v>178544430.32699999</v>
      </c>
      <c r="I7">
        <v>467318525.00999999</v>
      </c>
      <c r="K7">
        <v>382603666.43099999</v>
      </c>
      <c r="O7">
        <v>162605388.308</v>
      </c>
      <c r="P7">
        <v>9641627.9000000004</v>
      </c>
      <c r="R7">
        <v>21852290.464000002</v>
      </c>
      <c r="S7">
        <v>201121.46</v>
      </c>
      <c r="W7">
        <v>321730.76699999999</v>
      </c>
      <c r="Y7">
        <f t="shared" ref="Y7" si="18">SUM(F7,G7,I7,K7,M7,O7,P7,R7,S7,U7,W7)</f>
        <v>4036166799.7820001</v>
      </c>
      <c r="AB7">
        <f t="shared" si="9"/>
        <v>0.74120386937516614</v>
      </c>
      <c r="AC7">
        <f t="shared" si="10"/>
        <v>0.11578275829315098</v>
      </c>
      <c r="AD7">
        <f t="shared" si="16"/>
        <v>9.4793819336620344E-2</v>
      </c>
      <c r="AE7">
        <f t="shared" si="11"/>
        <v>0</v>
      </c>
      <c r="AF7">
        <f t="shared" si="12"/>
        <v>4.2675891446632815E-2</v>
      </c>
      <c r="AG7">
        <f t="shared" si="13"/>
        <v>0.7893437104101042</v>
      </c>
      <c r="AJ7">
        <f t="shared" si="17"/>
        <v>7.971196012448672E-5</v>
      </c>
      <c r="AN7">
        <f t="shared" si="0"/>
        <v>1.875</v>
      </c>
      <c r="AO7">
        <f t="shared" si="1"/>
        <v>0.79606703944122681</v>
      </c>
      <c r="AP7">
        <f t="shared" si="2"/>
        <v>6.7233290311226601E-3</v>
      </c>
      <c r="AQ7">
        <f t="shared" si="3"/>
        <v>0.1136543100982737</v>
      </c>
      <c r="AR7">
        <f t="shared" si="4"/>
        <v>2.128448194877279E-3</v>
      </c>
      <c r="AS7">
        <f t="shared" si="5"/>
        <v>9.0209178621687564E-2</v>
      </c>
      <c r="AT7">
        <f t="shared" si="6"/>
        <v>4.5846407149327806E-3</v>
      </c>
      <c r="AU7">
        <f t="shared" si="7"/>
        <v>0</v>
      </c>
      <c r="AV7">
        <f t="shared" si="8"/>
        <v>0</v>
      </c>
      <c r="BC7">
        <v>2</v>
      </c>
      <c r="BD7">
        <v>677.30579999999998</v>
      </c>
    </row>
    <row r="8" spans="1:56" ht="15" x14ac:dyDescent="0.2">
      <c r="A8" t="s">
        <v>32</v>
      </c>
      <c r="B8">
        <v>1</v>
      </c>
      <c r="C8">
        <v>21</v>
      </c>
      <c r="D8">
        <v>42</v>
      </c>
      <c r="E8">
        <f t="shared" si="14"/>
        <v>2.5</v>
      </c>
      <c r="F8">
        <v>2902131176.6659999</v>
      </c>
      <c r="G8">
        <v>182095487.41999999</v>
      </c>
      <c r="I8">
        <v>377152372.12300003</v>
      </c>
      <c r="K8">
        <v>455366313.01599997</v>
      </c>
      <c r="O8">
        <v>178077862.87200001</v>
      </c>
      <c r="P8">
        <v>8745332.6530000009</v>
      </c>
      <c r="R8">
        <v>32555963.473000001</v>
      </c>
      <c r="S8">
        <v>112468.425</v>
      </c>
      <c r="W8">
        <v>402161.58500000002</v>
      </c>
      <c r="Y8">
        <f>SUM(F8,G8,I8,K8,M8,O8,P8,R8,S8,U8,W8)</f>
        <v>4136639138.2330003</v>
      </c>
      <c r="AB8">
        <f t="shared" si="9"/>
        <v>0.74558755574784141</v>
      </c>
      <c r="AC8">
        <f t="shared" si="10"/>
        <v>9.1173621754230119E-2</v>
      </c>
      <c r="AD8">
        <f t="shared" si="16"/>
        <v>0.11008122724732365</v>
      </c>
      <c r="AE8">
        <f t="shared" si="11"/>
        <v>0</v>
      </c>
      <c r="AF8">
        <f t="shared" si="12"/>
        <v>4.5163039192440434E-2</v>
      </c>
      <c r="AG8">
        <f t="shared" si="13"/>
        <v>0.79864793159603731</v>
      </c>
      <c r="AJ8">
        <f t="shared" si="17"/>
        <v>9.7219402408832471E-5</v>
      </c>
      <c r="AN8">
        <f t="shared" si="0"/>
        <v>2.4833333333333334</v>
      </c>
      <c r="AO8">
        <f t="shared" si="1"/>
        <v>0.8036577283017643</v>
      </c>
      <c r="AP8">
        <f t="shared" si="2"/>
        <v>5.0097967057269321E-3</v>
      </c>
      <c r="AQ8">
        <f t="shared" si="3"/>
        <v>8.9600022560166137E-2</v>
      </c>
      <c r="AR8">
        <f t="shared" si="4"/>
        <v>1.573599194063989E-3</v>
      </c>
      <c r="AS8">
        <f t="shared" si="5"/>
        <v>0.10664950937286524</v>
      </c>
      <c r="AT8">
        <f t="shared" si="6"/>
        <v>3.4317178744584093E-3</v>
      </c>
      <c r="AU8">
        <f t="shared" si="7"/>
        <v>0</v>
      </c>
      <c r="AV8">
        <f t="shared" si="8"/>
        <v>0</v>
      </c>
      <c r="BC8">
        <v>2</v>
      </c>
      <c r="BD8">
        <v>692.31110000000001</v>
      </c>
    </row>
    <row r="9" spans="1:56" ht="15" x14ac:dyDescent="0.2">
      <c r="A9" t="s">
        <v>33</v>
      </c>
      <c r="B9">
        <v>1</v>
      </c>
      <c r="C9">
        <v>22</v>
      </c>
      <c r="D9">
        <v>18</v>
      </c>
      <c r="E9">
        <f t="shared" si="14"/>
        <v>3.1</v>
      </c>
      <c r="F9">
        <v>2941651914.375</v>
      </c>
      <c r="G9">
        <v>182862615.623</v>
      </c>
      <c r="I9">
        <v>319264579.12900001</v>
      </c>
      <c r="K9">
        <v>535478232.972</v>
      </c>
      <c r="O9">
        <v>194081186.68900001</v>
      </c>
      <c r="P9">
        <v>10309582.865</v>
      </c>
      <c r="R9">
        <v>41905534.156999998</v>
      </c>
      <c r="S9">
        <v>617930.77600000007</v>
      </c>
      <c r="W9">
        <v>706785.64899999998</v>
      </c>
      <c r="Y9">
        <f t="shared" ref="Y9:Y26" si="19">SUM(F9,G9,I9,K9,M9,O9,P9,R9,S9,U9,W9)</f>
        <v>4226878362.2350006</v>
      </c>
      <c r="AB9">
        <f t="shared" ref="AB9:AB21" si="20">(F9+G9)/Y9</f>
        <v>0.73920143004680283</v>
      </c>
      <c r="AC9">
        <f t="shared" ref="AC9:AC21" si="21">I9/Y9</f>
        <v>7.5532000632302546E-2</v>
      </c>
      <c r="AD9">
        <f t="shared" ref="AD9:AD21" si="22">(K9+U9)/Y9</f>
        <v>0.12668408860690777</v>
      </c>
      <c r="AE9">
        <f t="shared" ref="AE9:AE21" si="23">M9/Y9</f>
        <v>0</v>
      </c>
      <c r="AF9">
        <f t="shared" ref="AF9:AF21" si="24">SUM(O9:P9)/Y9</f>
        <v>4.8355015696720106E-2</v>
      </c>
      <c r="AG9">
        <f t="shared" ref="AG9:AG21" si="25">AB9+AF9+SUM(R9:S9)/Y9</f>
        <v>0.7976166985563139</v>
      </c>
      <c r="AJ9">
        <f t="shared" si="17"/>
        <v>1.6721220447571162E-4</v>
      </c>
    </row>
    <row r="10" spans="1:56" ht="15" x14ac:dyDescent="0.2">
      <c r="A10" t="s">
        <v>34</v>
      </c>
      <c r="B10">
        <v>1</v>
      </c>
      <c r="C10">
        <v>22</v>
      </c>
      <c r="D10">
        <v>54</v>
      </c>
      <c r="E10">
        <f t="shared" si="14"/>
        <v>3.7</v>
      </c>
      <c r="F10">
        <v>2839161331.5669999</v>
      </c>
      <c r="G10">
        <v>171053713.993</v>
      </c>
      <c r="I10">
        <v>245642944.632</v>
      </c>
      <c r="K10">
        <v>536461059.792</v>
      </c>
      <c r="O10">
        <v>191005114.84099999</v>
      </c>
      <c r="P10">
        <v>10297889.602</v>
      </c>
      <c r="R10">
        <v>51920426.457999997</v>
      </c>
      <c r="S10">
        <v>1323778.8500000001</v>
      </c>
      <c r="U10">
        <v>115199.584</v>
      </c>
      <c r="W10">
        <v>629819.77</v>
      </c>
      <c r="Y10">
        <f t="shared" si="19"/>
        <v>4047611279.0890002</v>
      </c>
      <c r="AB10">
        <f t="shared" si="20"/>
        <v>0.74370161510112009</v>
      </c>
      <c r="AC10">
        <f t="shared" si="21"/>
        <v>6.0688373387299953E-2</v>
      </c>
      <c r="AD10">
        <f t="shared" si="22"/>
        <v>0.13256615380733094</v>
      </c>
      <c r="AE10">
        <f t="shared" si="23"/>
        <v>0</v>
      </c>
      <c r="AF10">
        <f t="shared" si="24"/>
        <v>4.9733778903864365E-2</v>
      </c>
      <c r="AG10">
        <f t="shared" si="25"/>
        <v>0.80658986997531124</v>
      </c>
      <c r="AJ10">
        <f t="shared" si="17"/>
        <v>1.5560283005777031E-4</v>
      </c>
    </row>
    <row r="11" spans="1:56" ht="15" x14ac:dyDescent="0.2">
      <c r="A11" t="s">
        <v>35</v>
      </c>
      <c r="B11">
        <v>1</v>
      </c>
      <c r="C11">
        <v>23</v>
      </c>
      <c r="D11">
        <v>31</v>
      </c>
      <c r="E11">
        <f t="shared" si="14"/>
        <v>4.3166666666666664</v>
      </c>
      <c r="F11">
        <v>2803981221.592</v>
      </c>
      <c r="G11">
        <v>163342351.71200001</v>
      </c>
      <c r="I11">
        <v>201162527.60600001</v>
      </c>
      <c r="K11">
        <v>574494932.37600005</v>
      </c>
      <c r="O11">
        <v>207326852.87200001</v>
      </c>
      <c r="P11">
        <v>10387415.396</v>
      </c>
      <c r="R11">
        <v>62698151.673</v>
      </c>
      <c r="S11">
        <v>1529032.8570000001</v>
      </c>
      <c r="U11">
        <v>583805.80099999998</v>
      </c>
      <c r="W11">
        <v>734081.74399999995</v>
      </c>
      <c r="Y11">
        <f t="shared" si="19"/>
        <v>4026240373.6289997</v>
      </c>
      <c r="AB11">
        <f t="shared" si="20"/>
        <v>0.73699612987324981</v>
      </c>
      <c r="AC11">
        <f t="shared" si="21"/>
        <v>4.996287080214358E-2</v>
      </c>
      <c r="AD11">
        <f t="shared" si="22"/>
        <v>0.14283268876434724</v>
      </c>
      <c r="AE11">
        <f t="shared" si="23"/>
        <v>0</v>
      </c>
      <c r="AF11">
        <f t="shared" si="24"/>
        <v>5.4073837641185361E-2</v>
      </c>
      <c r="AG11">
        <f t="shared" si="25"/>
        <v>0.80702211606241403</v>
      </c>
      <c r="AJ11">
        <f t="shared" si="17"/>
        <v>1.8232437109519739E-4</v>
      </c>
    </row>
    <row r="12" spans="1:56" ht="15" x14ac:dyDescent="0.2">
      <c r="A12" t="s">
        <v>36</v>
      </c>
      <c r="B12">
        <v>2</v>
      </c>
      <c r="C12">
        <v>0</v>
      </c>
      <c r="D12">
        <v>7</v>
      </c>
      <c r="E12">
        <f>(B12-$B$3)*24+(C12-$C$3)+(D12-$D$3)/60</f>
        <v>4.916666666666667</v>
      </c>
      <c r="F12">
        <v>2929365639.928</v>
      </c>
      <c r="G12">
        <v>181360637.25</v>
      </c>
      <c r="I12">
        <v>168289515.04699999</v>
      </c>
      <c r="K12">
        <v>617540201.27699995</v>
      </c>
      <c r="O12">
        <v>208541011.40000001</v>
      </c>
      <c r="P12">
        <v>11565908.612</v>
      </c>
      <c r="R12">
        <v>76598504.718999997</v>
      </c>
      <c r="S12">
        <v>1556089.557</v>
      </c>
      <c r="U12">
        <v>813587.55799999996</v>
      </c>
      <c r="W12">
        <v>875625.37800000003</v>
      </c>
      <c r="Y12">
        <f t="shared" si="19"/>
        <v>4196506720.7259998</v>
      </c>
      <c r="AB12">
        <f t="shared" si="20"/>
        <v>0.74126564883466728</v>
      </c>
      <c r="AC12">
        <f t="shared" si="21"/>
        <v>4.010228655558682E-2</v>
      </c>
      <c r="AD12">
        <f t="shared" si="22"/>
        <v>0.14734964816832799</v>
      </c>
      <c r="AE12">
        <f t="shared" si="23"/>
        <v>0</v>
      </c>
      <c r="AF12">
        <f t="shared" si="24"/>
        <v>5.2450033959178619E-2</v>
      </c>
      <c r="AG12">
        <f t="shared" si="25"/>
        <v>0.81233940949729777</v>
      </c>
      <c r="AJ12">
        <f t="shared" si="17"/>
        <v>2.086557787874854E-4</v>
      </c>
    </row>
    <row r="13" spans="1:56" ht="15" x14ac:dyDescent="0.2">
      <c r="A13" t="s">
        <v>37</v>
      </c>
      <c r="B13">
        <v>2</v>
      </c>
      <c r="C13">
        <v>0</v>
      </c>
      <c r="D13">
        <v>44</v>
      </c>
      <c r="E13">
        <f>(B13-$B$3)*24+(C13-$C$3)+(D13-$D$3)/60</f>
        <v>5.5333333333333332</v>
      </c>
      <c r="F13">
        <v>2924453671.0079999</v>
      </c>
      <c r="G13">
        <v>178800977.60699999</v>
      </c>
      <c r="I13">
        <v>133034893.16599999</v>
      </c>
      <c r="K13">
        <v>608977006.39400005</v>
      </c>
      <c r="O13">
        <v>217798857.28400001</v>
      </c>
      <c r="P13">
        <v>11321718.886</v>
      </c>
      <c r="R13">
        <v>83171568.439999998</v>
      </c>
      <c r="S13">
        <v>2844687.0830000001</v>
      </c>
      <c r="U13">
        <v>1195878.696</v>
      </c>
      <c r="W13">
        <v>923766.64800000004</v>
      </c>
      <c r="Y13">
        <f t="shared" si="19"/>
        <v>4162523025.2119999</v>
      </c>
      <c r="AB13">
        <f t="shared" si="20"/>
        <v>0.74552251839062178</v>
      </c>
      <c r="AC13">
        <f t="shared" si="21"/>
        <v>3.1960157904285573E-2</v>
      </c>
      <c r="AD13">
        <f t="shared" si="22"/>
        <v>0.14658726964253213</v>
      </c>
      <c r="AE13">
        <f t="shared" si="23"/>
        <v>0</v>
      </c>
      <c r="AF13">
        <f t="shared" si="24"/>
        <v>5.5043677784420368E-2</v>
      </c>
      <c r="AG13">
        <f t="shared" si="25"/>
        <v>0.82123064775933552</v>
      </c>
      <c r="AJ13">
        <f t="shared" si="17"/>
        <v>2.21924693846697E-4</v>
      </c>
    </row>
    <row r="14" spans="1:56" ht="15" x14ac:dyDescent="0.2">
      <c r="A14" t="s">
        <v>38</v>
      </c>
      <c r="B14">
        <v>2</v>
      </c>
      <c r="C14">
        <v>1</v>
      </c>
      <c r="D14">
        <v>20</v>
      </c>
      <c r="E14">
        <f>(B14-$B$3)*24+(C14-$C$3)+(D14-$D$3)/60</f>
        <v>6.1333333333333337</v>
      </c>
      <c r="F14">
        <v>2974298852.546</v>
      </c>
      <c r="G14">
        <v>188189483.447</v>
      </c>
      <c r="I14">
        <v>112940773.70999999</v>
      </c>
      <c r="K14">
        <v>638411017.074</v>
      </c>
      <c r="O14">
        <v>226881278.40900001</v>
      </c>
      <c r="P14">
        <v>13223538.458000001</v>
      </c>
      <c r="R14">
        <v>96761840.713</v>
      </c>
      <c r="S14">
        <v>2780190.2149999999</v>
      </c>
      <c r="U14">
        <v>1873341.963</v>
      </c>
      <c r="W14">
        <v>1115761.953</v>
      </c>
      <c r="Y14">
        <f t="shared" si="19"/>
        <v>4256476078.4879999</v>
      </c>
      <c r="AB14">
        <f t="shared" si="20"/>
        <v>0.74298275796169633</v>
      </c>
      <c r="AC14">
        <f t="shared" si="21"/>
        <v>2.653386783513164E-2</v>
      </c>
      <c r="AD14">
        <f t="shared" si="22"/>
        <v>0.15042592680667527</v>
      </c>
      <c r="AE14">
        <f t="shared" si="23"/>
        <v>0</v>
      </c>
      <c r="AF14">
        <f t="shared" si="24"/>
        <v>5.6409295492221082E-2</v>
      </c>
      <c r="AG14">
        <f t="shared" si="25"/>
        <v>0.82277807256749358</v>
      </c>
      <c r="AJ14">
        <f t="shared" si="17"/>
        <v>2.6213279069956495E-4</v>
      </c>
    </row>
    <row r="15" spans="1:56" ht="15" x14ac:dyDescent="0.2">
      <c r="A15" t="s">
        <v>39</v>
      </c>
      <c r="B15">
        <v>2</v>
      </c>
      <c r="C15">
        <v>1</v>
      </c>
      <c r="D15">
        <v>56</v>
      </c>
      <c r="E15">
        <f t="shared" ref="E15:E25" si="26">(B15-$B$3)*24+(C15-$C$3)+(D15-$D$3)/60</f>
        <v>6.7333333333333334</v>
      </c>
      <c r="F15">
        <v>2895011436.7670002</v>
      </c>
      <c r="G15">
        <v>173226137.68399999</v>
      </c>
      <c r="I15">
        <v>98986818.637999997</v>
      </c>
      <c r="K15">
        <v>672383189.39400005</v>
      </c>
      <c r="O15">
        <v>231866120.68799999</v>
      </c>
      <c r="P15">
        <v>14372109.161</v>
      </c>
      <c r="R15">
        <v>110706949.763</v>
      </c>
      <c r="S15">
        <v>1993759.9909999999</v>
      </c>
      <c r="U15">
        <v>2026776.5120000001</v>
      </c>
      <c r="W15">
        <v>1328913.5689999999</v>
      </c>
      <c r="Y15">
        <f t="shared" si="19"/>
        <v>4201902212.1670003</v>
      </c>
      <c r="AB15">
        <f t="shared" si="20"/>
        <v>0.73020204172449132</v>
      </c>
      <c r="AC15">
        <f t="shared" si="21"/>
        <v>2.3557620725055052E-2</v>
      </c>
      <c r="AD15">
        <f t="shared" si="22"/>
        <v>0.16050110922457522</v>
      </c>
      <c r="AE15">
        <f t="shared" si="23"/>
        <v>0</v>
      </c>
      <c r="AF15">
        <f t="shared" si="24"/>
        <v>5.8601608846582443E-2</v>
      </c>
      <c r="AG15">
        <f t="shared" si="25"/>
        <v>0.81562500529647997</v>
      </c>
      <c r="AJ15">
        <f t="shared" si="17"/>
        <v>3.1626475388979935E-4</v>
      </c>
    </row>
    <row r="16" spans="1:56" ht="15" x14ac:dyDescent="0.2">
      <c r="A16" t="s">
        <v>40</v>
      </c>
      <c r="B16">
        <v>2</v>
      </c>
      <c r="C16">
        <v>2</v>
      </c>
      <c r="D16">
        <v>33</v>
      </c>
      <c r="E16">
        <f t="shared" si="26"/>
        <v>7.35</v>
      </c>
      <c r="F16">
        <v>3020188474.2919998</v>
      </c>
      <c r="G16">
        <v>182867799.544</v>
      </c>
      <c r="I16">
        <v>79077755.077999994</v>
      </c>
      <c r="K16">
        <v>656137689.53100002</v>
      </c>
      <c r="O16">
        <v>240825616.155</v>
      </c>
      <c r="P16">
        <v>13900411.113</v>
      </c>
      <c r="R16">
        <v>128885642.037</v>
      </c>
      <c r="S16">
        <v>2610701.3149999999</v>
      </c>
      <c r="U16">
        <v>2593018.04</v>
      </c>
      <c r="W16">
        <v>1106844.8559999999</v>
      </c>
      <c r="Y16">
        <f t="shared" si="19"/>
        <v>4328193951.9609995</v>
      </c>
      <c r="AB16">
        <f t="shared" si="20"/>
        <v>0.74004453344443422</v>
      </c>
      <c r="AC16">
        <f t="shared" si="21"/>
        <v>1.8270381585412037E-2</v>
      </c>
      <c r="AD16">
        <f t="shared" si="22"/>
        <v>0.15219528396423757</v>
      </c>
      <c r="AE16">
        <f t="shared" si="23"/>
        <v>0</v>
      </c>
      <c r="AF16">
        <f t="shared" si="24"/>
        <v>5.8852729358995069E-2</v>
      </c>
      <c r="AG16">
        <f t="shared" si="25"/>
        <v>0.82927860541688181</v>
      </c>
      <c r="AJ16">
        <f t="shared" si="17"/>
        <v>2.5572903346868627E-4</v>
      </c>
    </row>
    <row r="17" spans="1:56" ht="15" x14ac:dyDescent="0.2">
      <c r="A17" t="s">
        <v>41</v>
      </c>
      <c r="B17">
        <v>2</v>
      </c>
      <c r="C17">
        <v>3</v>
      </c>
      <c r="D17">
        <v>9</v>
      </c>
      <c r="E17">
        <f>(B17-$B$3)*24+(C17-$C$3)+(D17-$D$3)/60</f>
        <v>7.95</v>
      </c>
      <c r="F17">
        <v>3003561051.0089998</v>
      </c>
      <c r="G17">
        <v>184227810.211</v>
      </c>
      <c r="I17">
        <v>63683436.008000001</v>
      </c>
      <c r="K17">
        <v>598087268.68200004</v>
      </c>
      <c r="O17">
        <v>242959457.71700001</v>
      </c>
      <c r="P17">
        <v>12804033.687000001</v>
      </c>
      <c r="R17">
        <v>137802627.85299999</v>
      </c>
      <c r="S17">
        <v>3469994.02</v>
      </c>
      <c r="U17">
        <v>3374999.2280000001</v>
      </c>
      <c r="W17">
        <v>1356306.1440000001</v>
      </c>
      <c r="Y17">
        <f t="shared" si="19"/>
        <v>4251326984.559</v>
      </c>
      <c r="AB17">
        <f t="shared" si="20"/>
        <v>0.74983384547887855</v>
      </c>
      <c r="AC17">
        <f t="shared" si="21"/>
        <v>1.4979660759875902E-2</v>
      </c>
      <c r="AD17">
        <f t="shared" si="22"/>
        <v>0.14147636022694479</v>
      </c>
      <c r="AE17">
        <f t="shared" si="23"/>
        <v>0</v>
      </c>
      <c r="AF17">
        <f t="shared" si="24"/>
        <v>6.0160860910709497E-2</v>
      </c>
      <c r="AG17">
        <f t="shared" si="25"/>
        <v>0.84322494776742329</v>
      </c>
      <c r="AJ17">
        <f t="shared" si="17"/>
        <v>3.1903124575601022E-4</v>
      </c>
    </row>
    <row r="18" spans="1:56" ht="15" x14ac:dyDescent="0.2">
      <c r="A18" t="s">
        <v>42</v>
      </c>
      <c r="B18">
        <v>2</v>
      </c>
      <c r="C18">
        <v>4</v>
      </c>
      <c r="D18">
        <v>11</v>
      </c>
      <c r="E18">
        <f t="shared" si="26"/>
        <v>8.9833333333333325</v>
      </c>
      <c r="F18">
        <v>2905404767.823</v>
      </c>
      <c r="G18">
        <v>175272874.373</v>
      </c>
      <c r="I18">
        <v>46841987.520999998</v>
      </c>
      <c r="K18">
        <v>600791609.34899998</v>
      </c>
      <c r="O18">
        <v>244556672.618</v>
      </c>
      <c r="P18">
        <v>14626285.096999999</v>
      </c>
      <c r="R18">
        <v>158916637.84200001</v>
      </c>
      <c r="S18">
        <v>3685395.8259999999</v>
      </c>
      <c r="U18">
        <v>4098092.9840000002</v>
      </c>
      <c r="W18">
        <v>1532612.9790000001</v>
      </c>
      <c r="Y18">
        <f t="shared" si="19"/>
        <v>4155726936.4120007</v>
      </c>
      <c r="AB18">
        <f t="shared" si="20"/>
        <v>0.7413089669591757</v>
      </c>
      <c r="AC18">
        <f t="shared" si="21"/>
        <v>1.1271671175162135E-2</v>
      </c>
      <c r="AD18">
        <f t="shared" si="22"/>
        <v>0.14555569015688352</v>
      </c>
      <c r="AE18">
        <f t="shared" si="23"/>
        <v>0</v>
      </c>
      <c r="AF18">
        <f t="shared" si="24"/>
        <v>6.2367658337719158E-2</v>
      </c>
      <c r="AG18">
        <f t="shared" si="25"/>
        <v>0.84280384326766666</v>
      </c>
      <c r="AJ18">
        <f t="shared" si="17"/>
        <v>3.6879540028759392E-4</v>
      </c>
    </row>
    <row r="19" spans="1:56" ht="15" x14ac:dyDescent="0.2">
      <c r="A19" t="s">
        <v>43</v>
      </c>
      <c r="B19">
        <v>2</v>
      </c>
      <c r="C19">
        <v>5</v>
      </c>
      <c r="D19">
        <v>14</v>
      </c>
      <c r="E19">
        <f t="shared" si="26"/>
        <v>10.033333333333333</v>
      </c>
      <c r="F19">
        <v>2956999931.3280001</v>
      </c>
      <c r="G19">
        <v>174372652.41600001</v>
      </c>
      <c r="I19">
        <v>34992441.816</v>
      </c>
      <c r="K19">
        <v>585379713.59500003</v>
      </c>
      <c r="O19">
        <v>247410627.243</v>
      </c>
      <c r="P19">
        <v>13668996.18</v>
      </c>
      <c r="R19">
        <v>176950210.37200001</v>
      </c>
      <c r="S19">
        <v>4428733.9050000003</v>
      </c>
      <c r="U19">
        <v>5251930.0209999997</v>
      </c>
      <c r="W19">
        <v>1565073.558</v>
      </c>
      <c r="Y19">
        <f t="shared" si="19"/>
        <v>4201020310.434</v>
      </c>
      <c r="AB19">
        <f t="shared" si="20"/>
        <v>0.74538382401214898</v>
      </c>
      <c r="AC19">
        <f t="shared" si="21"/>
        <v>8.3295102689910569E-3</v>
      </c>
      <c r="AD19">
        <f t="shared" si="22"/>
        <v>0.14059242754648404</v>
      </c>
      <c r="AE19">
        <f t="shared" si="23"/>
        <v>0</v>
      </c>
      <c r="AF19">
        <f t="shared" si="24"/>
        <v>6.214671773296624E-2</v>
      </c>
      <c r="AG19">
        <f t="shared" si="25"/>
        <v>0.85070551612610357</v>
      </c>
      <c r="AJ19">
        <f t="shared" si="17"/>
        <v>3.7254605842129696E-4</v>
      </c>
    </row>
    <row r="20" spans="1:56" x14ac:dyDescent="0.45">
      <c r="A20" t="s">
        <v>45</v>
      </c>
      <c r="B20">
        <v>2</v>
      </c>
      <c r="E20">
        <f t="shared" si="26"/>
        <v>4.8</v>
      </c>
      <c r="Y20">
        <f t="shared" si="19"/>
        <v>0</v>
      </c>
      <c r="AB20" t="e">
        <f t="shared" si="20"/>
        <v>#DIV/0!</v>
      </c>
      <c r="AC20" t="e">
        <f t="shared" si="21"/>
        <v>#DIV/0!</v>
      </c>
      <c r="AD20" t="e">
        <f t="shared" si="22"/>
        <v>#DIV/0!</v>
      </c>
      <c r="AE20" t="e">
        <f t="shared" si="23"/>
        <v>#DIV/0!</v>
      </c>
      <c r="AF20" t="e">
        <f t="shared" si="24"/>
        <v>#DIV/0!</v>
      </c>
      <c r="AG20" t="e">
        <f t="shared" si="25"/>
        <v>#DIV/0!</v>
      </c>
      <c r="AJ20" t="e">
        <f t="shared" si="17"/>
        <v>#DIV/0!</v>
      </c>
    </row>
    <row r="21" spans="1:56" ht="15" x14ac:dyDescent="0.2">
      <c r="A21" t="s">
        <v>44</v>
      </c>
      <c r="B21">
        <v>2</v>
      </c>
      <c r="C21">
        <v>9</v>
      </c>
      <c r="D21">
        <v>24</v>
      </c>
      <c r="E21">
        <f t="shared" si="26"/>
        <v>14.2</v>
      </c>
      <c r="F21">
        <v>2874016095.1259999</v>
      </c>
      <c r="G21">
        <v>170480185.96799999</v>
      </c>
      <c r="I21">
        <v>10652768.279999999</v>
      </c>
      <c r="K21">
        <v>450351434.75700003</v>
      </c>
      <c r="O21">
        <v>251724883.11700001</v>
      </c>
      <c r="P21">
        <v>14040662.382999999</v>
      </c>
      <c r="R21">
        <v>260581766.28600001</v>
      </c>
      <c r="S21">
        <v>5616342.4749999996</v>
      </c>
      <c r="U21">
        <v>12149639.981000001</v>
      </c>
      <c r="W21">
        <v>1523835.379</v>
      </c>
      <c r="Y21">
        <f t="shared" si="19"/>
        <v>4051137613.7519999</v>
      </c>
      <c r="AB21">
        <f t="shared" si="20"/>
        <v>0.75151638166009138</v>
      </c>
      <c r="AC21">
        <f t="shared" si="21"/>
        <v>2.6295745283591676E-3</v>
      </c>
      <c r="AD21">
        <f t="shared" si="22"/>
        <v>0.11416572795947315</v>
      </c>
      <c r="AE21">
        <f t="shared" si="23"/>
        <v>0</v>
      </c>
      <c r="AF21">
        <f t="shared" si="24"/>
        <v>6.5602695054799362E-2</v>
      </c>
      <c r="AG21">
        <f t="shared" si="25"/>
        <v>0.8828285475206622</v>
      </c>
      <c r="AJ21">
        <f t="shared" si="17"/>
        <v>3.7614999150539476E-4</v>
      </c>
    </row>
    <row r="22" spans="1:56" ht="15" x14ac:dyDescent="0.2">
      <c r="A22" t="s">
        <v>46</v>
      </c>
      <c r="B22">
        <v>2</v>
      </c>
      <c r="C22">
        <v>18</v>
      </c>
      <c r="D22">
        <v>50</v>
      </c>
      <c r="E22">
        <f t="shared" si="26"/>
        <v>23.633333333333333</v>
      </c>
      <c r="F22">
        <v>2937749042.7399998</v>
      </c>
      <c r="G22">
        <v>183222041.65099999</v>
      </c>
      <c r="K22">
        <v>271064725.22299999</v>
      </c>
      <c r="O22">
        <v>278436537.829</v>
      </c>
      <c r="P22">
        <v>15492707.346000001</v>
      </c>
      <c r="R22">
        <v>447257501.653</v>
      </c>
      <c r="S22">
        <v>13309557.619000001</v>
      </c>
      <c r="U22">
        <v>30656146.227000002</v>
      </c>
      <c r="W22">
        <v>1136564.3810000001</v>
      </c>
      <c r="Y22">
        <f t="shared" si="19"/>
        <v>4178324824.6690001</v>
      </c>
      <c r="AB22">
        <f t="shared" ref="AB22" si="27">(F22+G22)/Y22</f>
        <v>0.74694314476573465</v>
      </c>
      <c r="AC22">
        <f t="shared" ref="AC22" si="28">I22/Y22</f>
        <v>0</v>
      </c>
      <c r="AD22">
        <f t="shared" ref="AD22" si="29">(K22+U22)/Y22</f>
        <v>7.2210965903997615E-2</v>
      </c>
      <c r="AE22">
        <f t="shared" ref="AE22" si="30">M22/Y22</f>
        <v>0</v>
      </c>
      <c r="AF22">
        <f t="shared" ref="AF22" si="31">SUM(O22:P22)/Y22</f>
        <v>7.03461931536844E-2</v>
      </c>
      <c r="AG22">
        <f t="shared" ref="AG22" si="32">AB22+AF22+SUM(R22:S22)/Y22</f>
        <v>0.92751701972931411</v>
      </c>
      <c r="AJ22">
        <f t="shared" si="17"/>
        <v>2.7201436668821858E-4</v>
      </c>
    </row>
    <row r="23" spans="1:56" ht="15" x14ac:dyDescent="0.2">
      <c r="A23" t="s">
        <v>47</v>
      </c>
      <c r="B23">
        <v>2</v>
      </c>
      <c r="C23">
        <v>22</v>
      </c>
      <c r="D23">
        <v>41</v>
      </c>
      <c r="E23">
        <f t="shared" si="26"/>
        <v>27.483333333333334</v>
      </c>
      <c r="F23">
        <v>2860607663.2589998</v>
      </c>
      <c r="G23">
        <v>178004909.39500001</v>
      </c>
      <c r="K23">
        <v>207687084.921</v>
      </c>
      <c r="O23">
        <v>278932217.95200002</v>
      </c>
      <c r="P23">
        <v>14944536.463</v>
      </c>
      <c r="R23">
        <v>535988196.90499997</v>
      </c>
      <c r="S23">
        <v>15494714.714</v>
      </c>
      <c r="U23">
        <v>37484923.137000002</v>
      </c>
      <c r="W23">
        <v>858742.23199999996</v>
      </c>
      <c r="Y23">
        <f t="shared" si="19"/>
        <v>4130002988.9779997</v>
      </c>
      <c r="AB23">
        <f t="shared" ref="AB23:AB25" si="33">(F23+G23)/Y23</f>
        <v>0.73574101054244689</v>
      </c>
      <c r="AC23">
        <f t="shared" ref="AC23:AC25" si="34">I23/Y23</f>
        <v>0</v>
      </c>
      <c r="AD23">
        <f t="shared" ref="AD23:AD25" si="35">(K23+U23)/Y23</f>
        <v>5.9363639375638724E-2</v>
      </c>
      <c r="AE23">
        <f t="shared" ref="AE23:AE25" si="36">M23/Y23</f>
        <v>0</v>
      </c>
      <c r="AF23">
        <f t="shared" ref="AF23:AF25" si="37">SUM(O23:P23)/Y23</f>
        <v>7.1156547634296519E-2</v>
      </c>
      <c r="AG23">
        <f t="shared" ref="AG23:AG25" si="38">AB23+AF23+SUM(R23:S23)/Y23</f>
        <v>0.94042843287363287</v>
      </c>
    </row>
    <row r="24" spans="1:56" ht="15" x14ac:dyDescent="0.2">
      <c r="A24" t="s">
        <v>48</v>
      </c>
      <c r="B24">
        <v>3</v>
      </c>
      <c r="C24">
        <v>8</v>
      </c>
      <c r="D24">
        <v>32</v>
      </c>
      <c r="E24">
        <f t="shared" si="26"/>
        <v>37.333333333333336</v>
      </c>
      <c r="F24">
        <v>2723141127.9850001</v>
      </c>
      <c r="G24">
        <v>158647025.521</v>
      </c>
      <c r="K24">
        <v>94926944.827999994</v>
      </c>
      <c r="O24">
        <v>263257675.035</v>
      </c>
      <c r="P24">
        <v>15792758.172</v>
      </c>
      <c r="R24">
        <v>694988451.36300004</v>
      </c>
      <c r="S24">
        <v>22093692.805</v>
      </c>
      <c r="U24">
        <v>50705291.968999997</v>
      </c>
      <c r="W24">
        <v>703416.08499999996</v>
      </c>
      <c r="Y24">
        <f t="shared" si="19"/>
        <v>4024256383.7629995</v>
      </c>
      <c r="AB24">
        <f t="shared" si="33"/>
        <v>0.71610451191265778</v>
      </c>
      <c r="AC24">
        <f t="shared" si="34"/>
        <v>0</v>
      </c>
      <c r="AD24">
        <f t="shared" si="35"/>
        <v>3.6188608008325324E-2</v>
      </c>
      <c r="AE24">
        <f t="shared" si="36"/>
        <v>0</v>
      </c>
      <c r="AF24">
        <f t="shared" si="37"/>
        <v>6.9342111087381988E-2</v>
      </c>
      <c r="AG24">
        <f t="shared" si="38"/>
        <v>0.96363659793833412</v>
      </c>
    </row>
    <row r="25" spans="1:56" ht="15" x14ac:dyDescent="0.2">
      <c r="A25" t="s">
        <v>49</v>
      </c>
      <c r="B25">
        <v>3</v>
      </c>
      <c r="C25">
        <v>17</v>
      </c>
      <c r="D25">
        <v>18</v>
      </c>
      <c r="E25">
        <f t="shared" si="26"/>
        <v>46.1</v>
      </c>
      <c r="F25">
        <v>2446947925.1939998</v>
      </c>
      <c r="G25">
        <v>170655017.764</v>
      </c>
      <c r="K25">
        <v>47304624.545999996</v>
      </c>
      <c r="O25">
        <v>234609545.63600001</v>
      </c>
      <c r="P25">
        <v>16089367.395</v>
      </c>
      <c r="R25">
        <v>797860910.93299997</v>
      </c>
      <c r="S25">
        <v>33169461.874000002</v>
      </c>
      <c r="U25">
        <v>60042858.708999999</v>
      </c>
      <c r="W25">
        <v>536372.696</v>
      </c>
      <c r="Y25">
        <f t="shared" si="19"/>
        <v>3807216084.7470002</v>
      </c>
      <c r="AB25">
        <f t="shared" si="33"/>
        <v>0.68753726730799591</v>
      </c>
      <c r="AC25">
        <f t="shared" si="34"/>
        <v>0</v>
      </c>
      <c r="AD25">
        <f t="shared" si="35"/>
        <v>2.8195794739644658E-2</v>
      </c>
      <c r="AE25">
        <f t="shared" si="36"/>
        <v>0</v>
      </c>
      <c r="AF25">
        <f t="shared" si="37"/>
        <v>6.5848354138706475E-2</v>
      </c>
      <c r="AG25">
        <f t="shared" si="38"/>
        <v>0.97166332208376094</v>
      </c>
    </row>
    <row r="26" spans="1:56" ht="15" x14ac:dyDescent="0.2">
      <c r="A26" t="s">
        <v>50</v>
      </c>
      <c r="B26">
        <v>4</v>
      </c>
      <c r="C26">
        <v>8</v>
      </c>
      <c r="D26">
        <v>54</v>
      </c>
      <c r="E26">
        <f>(B26-$B$3)*24+(C26-$C$3)+(D26-$D$3)/60</f>
        <v>61.7</v>
      </c>
      <c r="F26">
        <v>2183881389.494</v>
      </c>
      <c r="G26">
        <v>151450759.75600001</v>
      </c>
      <c r="K26">
        <v>13724184.870999999</v>
      </c>
      <c r="O26">
        <v>211114494.90900001</v>
      </c>
      <c r="P26">
        <v>14312990.991</v>
      </c>
      <c r="R26">
        <v>973645705.426</v>
      </c>
      <c r="S26">
        <v>52120581.324000001</v>
      </c>
      <c r="U26">
        <v>66406491.531000003</v>
      </c>
      <c r="W26">
        <v>159610.149</v>
      </c>
      <c r="Y26">
        <f t="shared" si="19"/>
        <v>3666816208.4510002</v>
      </c>
      <c r="AB26">
        <f t="shared" si="9"/>
        <v>0.63688279327109532</v>
      </c>
      <c r="AC26">
        <f t="shared" si="10"/>
        <v>0</v>
      </c>
      <c r="AD26">
        <f t="shared" si="16"/>
        <v>2.1852929584341013E-2</v>
      </c>
      <c r="AE26">
        <f t="shared" si="11"/>
        <v>0</v>
      </c>
      <c r="AF26">
        <f t="shared" si="12"/>
        <v>6.147771611253703E-2</v>
      </c>
      <c r="AG26">
        <f t="shared" si="13"/>
        <v>0.97810354215028461</v>
      </c>
      <c r="AJ26">
        <f t="shared" si="17"/>
        <v>4.3528265374234639E-5</v>
      </c>
      <c r="AN26">
        <f t="shared" ref="AN26:AN27" si="39">AVERAGE(E26,E38)</f>
        <v>32.383333333333333</v>
      </c>
      <c r="AO26">
        <f t="shared" ref="AO26:AO27" si="40">AVERAGE(AG26,AG38)</f>
        <v>0.89546029708263064</v>
      </c>
      <c r="AP26">
        <f t="shared" ref="AP26:AP27" si="41">_xlfn.STDEV.P(AG26,AG38)</f>
        <v>8.264324506765397E-2</v>
      </c>
      <c r="AQ26">
        <f t="shared" ref="AQ26:AQ27" si="42">AVERAGE(AC26,AC38)</f>
        <v>3.5919657667909721E-2</v>
      </c>
      <c r="AR26">
        <f t="shared" ref="AR26:AR27" si="43">_xlfn.STDEV.P(AC26,AC38)</f>
        <v>3.5919657667909721E-2</v>
      </c>
      <c r="AS26">
        <f t="shared" ref="AS26:AS27" si="44">AVERAGE(AD26,AD38)</f>
        <v>6.8541534556148004E-2</v>
      </c>
      <c r="AT26">
        <f t="shared" ref="AT26:AT27" si="45">_xlfn.STDEV.P(AD26,AD38)</f>
        <v>4.6688604971807011E-2</v>
      </c>
      <c r="AU26">
        <f t="shared" ref="AU26:AU27" si="46">AVERAGE(AE26,AE38)</f>
        <v>0</v>
      </c>
      <c r="AV26">
        <f t="shared" ref="AV26:AV27" si="47">STDEV(AE26,AE38)</f>
        <v>0</v>
      </c>
      <c r="BC26">
        <v>2</v>
      </c>
      <c r="BD26">
        <v>699.31889999999999</v>
      </c>
    </row>
    <row r="27" spans="1:56" ht="15" x14ac:dyDescent="0.2">
      <c r="A27" t="s">
        <v>51</v>
      </c>
      <c r="B27">
        <v>4</v>
      </c>
      <c r="C27">
        <v>17</v>
      </c>
      <c r="D27">
        <v>43</v>
      </c>
      <c r="E27">
        <f t="shared" si="14"/>
        <v>70.516666666666666</v>
      </c>
      <c r="F27">
        <v>1976437252.546</v>
      </c>
      <c r="G27">
        <v>123362312.309</v>
      </c>
      <c r="K27">
        <v>6869230.1940000001</v>
      </c>
      <c r="O27">
        <v>206711656.76899999</v>
      </c>
      <c r="P27">
        <v>12000040.493000001</v>
      </c>
      <c r="R27">
        <v>1008878014.633</v>
      </c>
      <c r="S27">
        <v>59817431.254000001</v>
      </c>
      <c r="U27">
        <v>62661933.186999999</v>
      </c>
      <c r="W27">
        <v>25918.341</v>
      </c>
      <c r="Y27">
        <f>SUM(F27,G27,I27,K27,M27,O27,P27,R27,S27,U27,W27)</f>
        <v>3456763789.7259998</v>
      </c>
      <c r="AB27">
        <f t="shared" ref="AB27" si="48">(F27+G27)/Y27</f>
        <v>0.60744664448751373</v>
      </c>
      <c r="AC27">
        <f t="shared" ref="AC27" si="49">I27/Y27</f>
        <v>0</v>
      </c>
      <c r="AD27">
        <f t="shared" si="16"/>
        <v>2.0114525495683749E-2</v>
      </c>
      <c r="AE27">
        <f t="shared" ref="AE27" si="50">M27/Y27</f>
        <v>0</v>
      </c>
      <c r="AF27">
        <f t="shared" ref="AF27" si="51">SUM(O27:P27)/Y27</f>
        <v>6.3270651559138261E-2</v>
      </c>
      <c r="AG27">
        <f t="shared" ref="AG27" si="52">AB27+AF27+SUM(R27:S27)/Y27</f>
        <v>0.97987797664140852</v>
      </c>
      <c r="AJ27">
        <f t="shared" si="17"/>
        <v>7.4978629077963169E-6</v>
      </c>
      <c r="AN27">
        <f t="shared" si="39"/>
        <v>37.1</v>
      </c>
      <c r="AO27">
        <f t="shared" si="40"/>
        <v>0.89586641418765089</v>
      </c>
      <c r="AP27">
        <f t="shared" si="41"/>
        <v>8.4011562453757571E-2</v>
      </c>
      <c r="AQ27">
        <f t="shared" si="42"/>
        <v>2.9254668406509848E-2</v>
      </c>
      <c r="AR27">
        <f t="shared" si="43"/>
        <v>2.9254668406509848E-2</v>
      </c>
      <c r="AS27">
        <f t="shared" si="44"/>
        <v>7.4808075948254282E-2</v>
      </c>
      <c r="AT27">
        <f t="shared" si="45"/>
        <v>5.4693550452570544E-2</v>
      </c>
      <c r="AU27">
        <f t="shared" si="46"/>
        <v>0</v>
      </c>
      <c r="AV27">
        <f t="shared" si="47"/>
        <v>0</v>
      </c>
    </row>
    <row r="31" spans="1:56" ht="15" x14ac:dyDescent="0.2">
      <c r="F31" s="1">
        <v>395.87</v>
      </c>
      <c r="G31" s="1">
        <v>593.29999999999995</v>
      </c>
      <c r="H31" s="1"/>
      <c r="I31" s="1">
        <v>693.3</v>
      </c>
      <c r="J31" s="1"/>
      <c r="K31" s="1">
        <v>669.3</v>
      </c>
      <c r="L31" s="1"/>
      <c r="M31" s="1">
        <v>793.3</v>
      </c>
      <c r="O31" s="1">
        <v>399.87869999999998</v>
      </c>
      <c r="P31" s="1">
        <v>599.30340000000001</v>
      </c>
      <c r="R31" s="1">
        <v>409.54649999999998</v>
      </c>
      <c r="S31" s="1">
        <v>614.30830000000003</v>
      </c>
      <c r="U31" s="1">
        <v>628.28800000000001</v>
      </c>
      <c r="W31" s="1">
        <v>684.31370000000004</v>
      </c>
      <c r="Y31" t="s">
        <v>0</v>
      </c>
      <c r="AB31" t="s">
        <v>1</v>
      </c>
      <c r="AC31" t="s">
        <v>2</v>
      </c>
      <c r="AD31" t="s">
        <v>18</v>
      </c>
      <c r="AE31" t="s">
        <v>4</v>
      </c>
      <c r="AF31" t="s">
        <v>7</v>
      </c>
      <c r="AG31" t="s">
        <v>8</v>
      </c>
      <c r="AJ31">
        <v>684</v>
      </c>
    </row>
    <row r="32" spans="1:56" ht="15" x14ac:dyDescent="0.2">
      <c r="A32" t="s">
        <v>27</v>
      </c>
      <c r="B32">
        <v>1</v>
      </c>
      <c r="C32">
        <v>19</v>
      </c>
      <c r="D32">
        <v>19</v>
      </c>
      <c r="E32">
        <v>0</v>
      </c>
      <c r="F32">
        <v>2055276431.046</v>
      </c>
      <c r="G32">
        <v>147047290.48699999</v>
      </c>
      <c r="AC32">
        <v>0</v>
      </c>
      <c r="AD32">
        <v>0</v>
      </c>
      <c r="AE32">
        <v>0</v>
      </c>
      <c r="AG32">
        <v>1</v>
      </c>
    </row>
    <row r="33" spans="1:36" ht="15" x14ac:dyDescent="0.2">
      <c r="A33" t="s">
        <v>146</v>
      </c>
      <c r="B33">
        <v>1</v>
      </c>
      <c r="C33">
        <v>19</v>
      </c>
      <c r="D33">
        <v>21</v>
      </c>
      <c r="E33">
        <f>(B33-$B$32)*24+(C33-$C$32)+(D33-$D$32)/60</f>
        <v>3.3333333333333333E-2</v>
      </c>
      <c r="F33">
        <v>4146974443.0029998</v>
      </c>
      <c r="G33">
        <v>259347707.086</v>
      </c>
      <c r="I33">
        <v>35202513.024999999</v>
      </c>
      <c r="K33">
        <v>2343748.4219999998</v>
      </c>
      <c r="O33">
        <v>40794941.104999997</v>
      </c>
      <c r="P33">
        <v>2334285.693</v>
      </c>
      <c r="R33">
        <v>6060003.5899999999</v>
      </c>
      <c r="Y33">
        <f t="shared" ref="Y33:Y42" si="53">SUM(F33,G33,I33,K33,M33,O33,P33,R33,S33,U33,W33)</f>
        <v>4493057641.9239988</v>
      </c>
      <c r="AB33">
        <f t="shared" ref="AB33:AB41" si="54">(F33+G33)/Y33</f>
        <v>0.98069566456800283</v>
      </c>
      <c r="AC33">
        <f t="shared" ref="AC33:AC41" si="55">I33/Y33</f>
        <v>7.8348678851860275E-3</v>
      </c>
      <c r="AD33">
        <f t="shared" si="16"/>
        <v>5.2163773732410198E-4</v>
      </c>
      <c r="AE33">
        <f>O33/Y33</f>
        <v>9.0795499092531009E-3</v>
      </c>
      <c r="AF33">
        <f>SUM(O33:P33)/Y33</f>
        <v>9.5990815687669144E-3</v>
      </c>
      <c r="AG33">
        <f t="shared" ref="AG33:AG41" si="56">AB33+AF33+SUM(R33:S33)/Y33</f>
        <v>0.99164349437749</v>
      </c>
      <c r="AJ33">
        <f t="shared" ref="AJ33:AJ42" si="57">W33/Y33</f>
        <v>0</v>
      </c>
    </row>
    <row r="34" spans="1:36" ht="15" x14ac:dyDescent="0.2">
      <c r="A34" t="s">
        <v>147</v>
      </c>
      <c r="B34">
        <v>1</v>
      </c>
      <c r="C34">
        <v>19</v>
      </c>
      <c r="D34">
        <v>58</v>
      </c>
      <c r="E34">
        <f t="shared" ref="E34:E41" si="58">(B34-$B$32)*24+(C34-$C$32)+(D34-$D$32)/60</f>
        <v>0.65</v>
      </c>
      <c r="F34">
        <v>3248584025.7670002</v>
      </c>
      <c r="G34">
        <v>205061780.61300001</v>
      </c>
      <c r="I34">
        <v>642485285.14499998</v>
      </c>
      <c r="K34">
        <v>145412642.602</v>
      </c>
      <c r="M34">
        <v>1205970.7819999999</v>
      </c>
      <c r="O34">
        <v>146125950.20100001</v>
      </c>
      <c r="P34">
        <v>9123356.4989999998</v>
      </c>
      <c r="R34">
        <v>13165199.922</v>
      </c>
      <c r="Y34">
        <f t="shared" si="53"/>
        <v>4411164211.5309992</v>
      </c>
      <c r="AB34">
        <f t="shared" si="54"/>
        <v>0.7829329493905488</v>
      </c>
      <c r="AC34">
        <f t="shared" si="55"/>
        <v>0.14564982266257784</v>
      </c>
      <c r="AD34">
        <f t="shared" si="16"/>
        <v>3.296468588085754E-2</v>
      </c>
      <c r="AE34">
        <f t="shared" ref="AE34:AE41" si="59">M34/Y34</f>
        <v>2.7339058900766679E-4</v>
      </c>
      <c r="AF34">
        <f t="shared" ref="AF34:AF40" si="60">SUM(O34:P34)/Y34</f>
        <v>3.5194633265787457E-2</v>
      </c>
      <c r="AG34">
        <f t="shared" si="56"/>
        <v>0.82111210086755715</v>
      </c>
      <c r="AJ34">
        <f t="shared" si="57"/>
        <v>0</v>
      </c>
    </row>
    <row r="35" spans="1:36" ht="15" x14ac:dyDescent="0.2">
      <c r="A35" t="s">
        <v>148</v>
      </c>
      <c r="B35">
        <v>1</v>
      </c>
      <c r="C35">
        <v>20</v>
      </c>
      <c r="D35">
        <v>34</v>
      </c>
      <c r="E35">
        <f>(B35-$B$32)*24+(C35-$C$32)+(D35-$D$32)/60</f>
        <v>1.25</v>
      </c>
      <c r="F35">
        <v>3076125452.5110002</v>
      </c>
      <c r="G35">
        <v>187723071.45699999</v>
      </c>
      <c r="I35">
        <v>571788560.15100002</v>
      </c>
      <c r="K35">
        <v>264849437.66299999</v>
      </c>
      <c r="O35">
        <v>159098956.69600001</v>
      </c>
      <c r="P35">
        <v>8473642.841</v>
      </c>
      <c r="R35">
        <v>16787665.138999999</v>
      </c>
      <c r="S35">
        <v>163560.59899999999</v>
      </c>
      <c r="U35">
        <v>76593.63</v>
      </c>
      <c r="W35">
        <v>181974.48</v>
      </c>
      <c r="Y35">
        <f t="shared" si="53"/>
        <v>4285268915.1670003</v>
      </c>
      <c r="AB35">
        <f t="shared" si="54"/>
        <v>0.76164380546017729</v>
      </c>
      <c r="AC35">
        <f t="shared" si="55"/>
        <v>0.13343119684443816</v>
      </c>
      <c r="AD35">
        <f t="shared" si="16"/>
        <v>6.1822498549703175E-2</v>
      </c>
      <c r="AE35">
        <f t="shared" si="59"/>
        <v>0</v>
      </c>
      <c r="AF35">
        <f t="shared" si="60"/>
        <v>3.9104336939953639E-2</v>
      </c>
      <c r="AG35">
        <f t="shared" si="56"/>
        <v>0.80470383948089141</v>
      </c>
      <c r="AJ35">
        <f t="shared" si="57"/>
        <v>4.2465124967054331E-5</v>
      </c>
    </row>
    <row r="36" spans="1:36" ht="15" x14ac:dyDescent="0.2">
      <c r="A36" t="s">
        <v>149</v>
      </c>
      <c r="B36">
        <v>1</v>
      </c>
      <c r="C36">
        <v>21</v>
      </c>
      <c r="D36">
        <v>11</v>
      </c>
      <c r="E36">
        <f t="shared" si="58"/>
        <v>1.8666666666666667</v>
      </c>
      <c r="F36">
        <v>3128800350.7919998</v>
      </c>
      <c r="G36">
        <v>203989659.377</v>
      </c>
      <c r="I36">
        <v>493403700.09299999</v>
      </c>
      <c r="K36">
        <v>378813156.88499999</v>
      </c>
      <c r="O36">
        <v>181347945.759</v>
      </c>
      <c r="P36">
        <v>9383523.5859999992</v>
      </c>
      <c r="R36">
        <v>27855850.886</v>
      </c>
      <c r="S36">
        <v>262903.02299999999</v>
      </c>
      <c r="W36">
        <v>262048.17499999999</v>
      </c>
      <c r="Y36">
        <f t="shared" si="53"/>
        <v>4424119138.5759993</v>
      </c>
      <c r="AB36">
        <f t="shared" si="54"/>
        <v>0.75332284366142366</v>
      </c>
      <c r="AC36">
        <f t="shared" si="55"/>
        <v>0.11152586190339642</v>
      </c>
      <c r="AD36">
        <f t="shared" si="16"/>
        <v>8.5624537906754783E-2</v>
      </c>
      <c r="AE36">
        <f t="shared" si="59"/>
        <v>0</v>
      </c>
      <c r="AF36">
        <f t="shared" si="60"/>
        <v>4.3111738940735479E-2</v>
      </c>
      <c r="AG36">
        <f t="shared" si="56"/>
        <v>0.80279036847234952</v>
      </c>
      <c r="AJ36">
        <f t="shared" si="57"/>
        <v>5.9231717499440127E-5</v>
      </c>
    </row>
    <row r="37" spans="1:36" ht="15" x14ac:dyDescent="0.2">
      <c r="A37" t="s">
        <v>150</v>
      </c>
      <c r="B37">
        <v>1</v>
      </c>
      <c r="C37">
        <v>21</v>
      </c>
      <c r="D37">
        <v>47</v>
      </c>
      <c r="E37">
        <f t="shared" si="58"/>
        <v>2.4666666666666668</v>
      </c>
      <c r="F37">
        <v>3115869257.8559999</v>
      </c>
      <c r="G37">
        <v>192090022.389</v>
      </c>
      <c r="I37">
        <v>386212856.08700001</v>
      </c>
      <c r="K37">
        <v>452864452.84500003</v>
      </c>
      <c r="O37">
        <v>194103742.53</v>
      </c>
      <c r="P37">
        <v>10683192.931</v>
      </c>
      <c r="R37">
        <v>34770394.281999998</v>
      </c>
      <c r="S37">
        <v>483893.89500000002</v>
      </c>
      <c r="W37">
        <v>387238.22700000001</v>
      </c>
      <c r="Y37">
        <f t="shared" si="53"/>
        <v>4387465051.0419998</v>
      </c>
      <c r="AB37">
        <f t="shared" si="54"/>
        <v>0.75395683880362241</v>
      </c>
      <c r="AC37">
        <f t="shared" si="55"/>
        <v>8.8026423366102141E-2</v>
      </c>
      <c r="AD37">
        <f t="shared" si="16"/>
        <v>0.10321779149840683</v>
      </c>
      <c r="AE37">
        <f t="shared" si="59"/>
        <v>0</v>
      </c>
      <c r="AF37">
        <f t="shared" si="60"/>
        <v>4.6675456802183345E-2</v>
      </c>
      <c r="AG37">
        <f t="shared" si="56"/>
        <v>0.80866752500749117</v>
      </c>
      <c r="AJ37">
        <f t="shared" si="57"/>
        <v>8.8260127999887543E-5</v>
      </c>
    </row>
    <row r="38" spans="1:36" ht="15" x14ac:dyDescent="0.2">
      <c r="A38" t="s">
        <v>151</v>
      </c>
      <c r="B38">
        <v>1</v>
      </c>
      <c r="C38">
        <v>22</v>
      </c>
      <c r="D38">
        <v>23</v>
      </c>
      <c r="E38">
        <f t="shared" si="58"/>
        <v>3.0666666666666669</v>
      </c>
      <c r="F38">
        <v>3063847417.789</v>
      </c>
      <c r="G38">
        <v>188343010.66299999</v>
      </c>
      <c r="I38">
        <v>309947233.44700003</v>
      </c>
      <c r="K38">
        <v>496829493.01999998</v>
      </c>
      <c r="O38">
        <v>198996784.78799999</v>
      </c>
      <c r="P38">
        <v>11527144.991</v>
      </c>
      <c r="R38">
        <v>43417884.086000003</v>
      </c>
      <c r="S38">
        <v>727412.35699999996</v>
      </c>
      <c r="U38">
        <v>325341.89799999999</v>
      </c>
      <c r="W38">
        <v>489660.554</v>
      </c>
      <c r="Y38">
        <f t="shared" si="53"/>
        <v>4314451383.5930004</v>
      </c>
      <c r="AB38">
        <f t="shared" si="54"/>
        <v>0.75379002781661486</v>
      </c>
      <c r="AC38">
        <f t="shared" si="55"/>
        <v>7.1839315335819443E-2</v>
      </c>
      <c r="AD38">
        <f t="shared" si="16"/>
        <v>0.11523013952795501</v>
      </c>
      <c r="AE38">
        <f t="shared" si="59"/>
        <v>0</v>
      </c>
      <c r="AF38">
        <f t="shared" si="60"/>
        <v>4.8795063627227457E-2</v>
      </c>
      <c r="AG38">
        <f t="shared" si="56"/>
        <v>0.81281705201497667</v>
      </c>
      <c r="AJ38">
        <f t="shared" si="57"/>
        <v>1.1349312124875983E-4</v>
      </c>
    </row>
    <row r="39" spans="1:36" ht="15" x14ac:dyDescent="0.2">
      <c r="A39" t="s">
        <v>152</v>
      </c>
      <c r="B39">
        <v>1</v>
      </c>
      <c r="C39">
        <v>23</v>
      </c>
      <c r="D39">
        <v>0</v>
      </c>
      <c r="E39">
        <f t="shared" si="58"/>
        <v>3.6833333333333336</v>
      </c>
      <c r="F39">
        <v>3142454768.7880001</v>
      </c>
      <c r="G39">
        <v>192961529.59799999</v>
      </c>
      <c r="I39">
        <v>261052198.28600001</v>
      </c>
      <c r="K39">
        <v>577480857.49300003</v>
      </c>
      <c r="O39">
        <v>216231076.59599999</v>
      </c>
      <c r="P39">
        <v>12542610.370999999</v>
      </c>
      <c r="R39">
        <v>56685125.475000001</v>
      </c>
      <c r="S39">
        <v>1392808.7620000001</v>
      </c>
      <c r="U39">
        <v>318962.07400000002</v>
      </c>
      <c r="W39">
        <v>598695.94799999997</v>
      </c>
      <c r="Y39">
        <f t="shared" si="53"/>
        <v>4461718633.3910007</v>
      </c>
      <c r="AB39">
        <f t="shared" si="54"/>
        <v>0.74756311915863982</v>
      </c>
      <c r="AC39">
        <f t="shared" si="55"/>
        <v>5.8509336813019695E-2</v>
      </c>
      <c r="AD39">
        <f t="shared" si="16"/>
        <v>0.12950162640082483</v>
      </c>
      <c r="AE39">
        <f t="shared" si="59"/>
        <v>0</v>
      </c>
      <c r="AF39">
        <f t="shared" si="60"/>
        <v>5.1274790224305811E-2</v>
      </c>
      <c r="AG39">
        <f t="shared" si="56"/>
        <v>0.81185485173389338</v>
      </c>
      <c r="AJ39">
        <f t="shared" si="57"/>
        <v>1.3418505226202003E-4</v>
      </c>
    </row>
    <row r="40" spans="1:36" ht="15" x14ac:dyDescent="0.2">
      <c r="A40" t="s">
        <v>153</v>
      </c>
      <c r="B40">
        <v>1</v>
      </c>
      <c r="C40">
        <v>23</v>
      </c>
      <c r="D40">
        <v>36</v>
      </c>
      <c r="E40">
        <f t="shared" si="58"/>
        <v>4.2833333333333332</v>
      </c>
      <c r="F40">
        <v>3075555189.4260001</v>
      </c>
      <c r="G40">
        <v>196765325.33700001</v>
      </c>
      <c r="I40">
        <v>208682698.18399999</v>
      </c>
      <c r="K40">
        <v>582353284.34200001</v>
      </c>
      <c r="O40">
        <v>218329749.98500001</v>
      </c>
      <c r="P40">
        <v>12871787.819</v>
      </c>
      <c r="R40">
        <v>68661587.928000003</v>
      </c>
      <c r="S40">
        <v>1011616.718</v>
      </c>
      <c r="U40">
        <v>538395.53399999999</v>
      </c>
      <c r="W40">
        <v>793179.28099999996</v>
      </c>
      <c r="Y40">
        <f t="shared" si="53"/>
        <v>4365562814.5540009</v>
      </c>
      <c r="AB40">
        <f t="shared" si="54"/>
        <v>0.74957586312895841</v>
      </c>
      <c r="AC40">
        <f t="shared" si="55"/>
        <v>4.7802014779924691E-2</v>
      </c>
      <c r="AD40">
        <f t="shared" si="16"/>
        <v>0.13352039694234707</v>
      </c>
      <c r="AE40">
        <f t="shared" si="59"/>
        <v>0</v>
      </c>
      <c r="AF40">
        <f t="shared" si="60"/>
        <v>5.2960304919497596E-2</v>
      </c>
      <c r="AG40">
        <f t="shared" si="56"/>
        <v>0.81849589823804847</v>
      </c>
      <c r="AJ40">
        <f t="shared" si="57"/>
        <v>1.8169003967957647E-4</v>
      </c>
    </row>
    <row r="41" spans="1:36" ht="15" x14ac:dyDescent="0.2">
      <c r="A41" t="s">
        <v>154</v>
      </c>
      <c r="B41">
        <v>2</v>
      </c>
      <c r="C41">
        <v>0</v>
      </c>
      <c r="D41">
        <v>12</v>
      </c>
      <c r="E41">
        <f t="shared" si="58"/>
        <v>4.8833333333333337</v>
      </c>
      <c r="F41">
        <v>3085859961.52</v>
      </c>
      <c r="G41">
        <v>190463614.63999999</v>
      </c>
      <c r="I41">
        <v>174706485.539</v>
      </c>
      <c r="K41">
        <v>607410775.45599997</v>
      </c>
      <c r="O41">
        <v>228240211.942</v>
      </c>
      <c r="P41">
        <v>11034045.361</v>
      </c>
      <c r="R41">
        <v>78285567.568000004</v>
      </c>
      <c r="S41">
        <v>1809592.12</v>
      </c>
      <c r="U41">
        <v>799104.81599999999</v>
      </c>
      <c r="W41">
        <v>995809.04700000002</v>
      </c>
      <c r="Y41">
        <f t="shared" si="53"/>
        <v>4379605168.0089989</v>
      </c>
      <c r="AB41">
        <f t="shared" si="54"/>
        <v>0.74808651704314266</v>
      </c>
      <c r="AC41">
        <f t="shared" si="55"/>
        <v>3.9890921404319851E-2</v>
      </c>
      <c r="AD41">
        <f t="shared" si="16"/>
        <v>0.13887322188645984</v>
      </c>
      <c r="AE41">
        <f t="shared" si="59"/>
        <v>0</v>
      </c>
      <c r="AF41">
        <f>SUM(O41:P41)/Y41</f>
        <v>5.4633750788949741E-2</v>
      </c>
      <c r="AG41">
        <f t="shared" si="56"/>
        <v>0.82100848254903958</v>
      </c>
      <c r="AJ41">
        <f t="shared" si="57"/>
        <v>2.2737416018090559E-4</v>
      </c>
    </row>
    <row r="42" spans="1:36" ht="15" x14ac:dyDescent="0.2">
      <c r="A42" t="s">
        <v>155</v>
      </c>
      <c r="B42">
        <v>2</v>
      </c>
      <c r="C42">
        <v>0</v>
      </c>
      <c r="D42">
        <v>49</v>
      </c>
      <c r="E42">
        <f t="shared" ref="E42:E55" si="61">(B42-$B$32)*24+(C42-$C$32)+(D42-$D$32)/60</f>
        <v>5.5</v>
      </c>
      <c r="F42">
        <v>3062445649.9489999</v>
      </c>
      <c r="G42">
        <v>182770166.315</v>
      </c>
      <c r="I42">
        <v>150832412.208</v>
      </c>
      <c r="K42">
        <v>629024394.16799998</v>
      </c>
      <c r="O42">
        <v>229033024.111</v>
      </c>
      <c r="P42">
        <v>13634488.789000001</v>
      </c>
      <c r="R42">
        <v>87684332.449000001</v>
      </c>
      <c r="S42">
        <v>2103833.4440000001</v>
      </c>
      <c r="U42">
        <v>1425898.7250000001</v>
      </c>
      <c r="W42">
        <v>1003374.171</v>
      </c>
      <c r="Y42">
        <f t="shared" si="53"/>
        <v>4359957574.3290005</v>
      </c>
      <c r="AB42">
        <f t="shared" ref="AB42" si="62">(F42+G42)/Y42</f>
        <v>0.74432279693993131</v>
      </c>
      <c r="AC42">
        <f t="shared" ref="AC42" si="63">I42/Y42</f>
        <v>3.4594926587379275E-2</v>
      </c>
      <c r="AD42">
        <f t="shared" si="16"/>
        <v>0.14460009808467611</v>
      </c>
      <c r="AE42">
        <f t="shared" ref="AE42" si="64">M42/Y42</f>
        <v>0</v>
      </c>
      <c r="AF42">
        <f t="shared" ref="AF42" si="65">SUM(O42:P42)/Y42</f>
        <v>5.565822803616309E-2</v>
      </c>
      <c r="AG42">
        <f t="shared" ref="AG42" si="66">AB42+AF42+SUM(R42:S42)/Y42</f>
        <v>0.82057484139799353</v>
      </c>
      <c r="AJ42">
        <f t="shared" si="57"/>
        <v>2.3013392995100868E-4</v>
      </c>
    </row>
    <row r="43" spans="1:36" ht="15" x14ac:dyDescent="0.2">
      <c r="A43" t="s">
        <v>156</v>
      </c>
      <c r="B43">
        <v>2</v>
      </c>
      <c r="C43">
        <v>1</v>
      </c>
      <c r="D43">
        <v>25</v>
      </c>
      <c r="E43">
        <f t="shared" si="61"/>
        <v>6.1</v>
      </c>
      <c r="F43">
        <v>3094211348.197</v>
      </c>
      <c r="G43">
        <v>186764961.734</v>
      </c>
      <c r="I43">
        <v>117353193.09</v>
      </c>
      <c r="K43">
        <v>604415299.05999994</v>
      </c>
      <c r="O43">
        <v>234258880.39500001</v>
      </c>
      <c r="P43">
        <v>14323282.48</v>
      </c>
      <c r="R43">
        <v>99893540.431999996</v>
      </c>
      <c r="S43">
        <v>2382062.037</v>
      </c>
      <c r="U43">
        <v>1768876.8189999999</v>
      </c>
      <c r="W43">
        <v>973428.76899999997</v>
      </c>
      <c r="Y43">
        <f t="shared" ref="Y43:Y55" si="67">SUM(F43,G43,I43,K43,M43,O43,P43,R43,S43,U43,W43)</f>
        <v>4356344873.0130005</v>
      </c>
      <c r="AB43">
        <f t="shared" ref="AB43:AB55" si="68">(F43+G43)/Y43</f>
        <v>0.75314889100177285</v>
      </c>
      <c r="AC43">
        <f t="shared" ref="AC43:AC55" si="69">I43/Y43</f>
        <v>2.6938453338942018E-2</v>
      </c>
      <c r="AD43">
        <f t="shared" ref="AD43:AD55" si="70">(K43+U43)/Y43</f>
        <v>0.13914972150947769</v>
      </c>
      <c r="AE43">
        <f t="shared" ref="AE43:AE55" si="71">M43/Y43</f>
        <v>0</v>
      </c>
      <c r="AF43">
        <f t="shared" ref="AF43:AF55" si="72">SUM(O43:P43)/Y43</f>
        <v>5.7062094512979153E-2</v>
      </c>
      <c r="AG43">
        <f t="shared" ref="AG43:AG55" si="73">AB43+AF43+SUM(R43:S43)/Y43</f>
        <v>0.83368837434651877</v>
      </c>
      <c r="AJ43">
        <f t="shared" ref="AJ43:AJ55" si="74">W43/Y43</f>
        <v>2.2345080506143276E-4</v>
      </c>
    </row>
    <row r="44" spans="1:36" ht="15" x14ac:dyDescent="0.2">
      <c r="A44" t="s">
        <v>157</v>
      </c>
      <c r="B44">
        <v>2</v>
      </c>
      <c r="C44">
        <v>2</v>
      </c>
      <c r="D44">
        <v>1</v>
      </c>
      <c r="E44">
        <f t="shared" si="61"/>
        <v>6.7</v>
      </c>
      <c r="F44">
        <v>3176070103.7789998</v>
      </c>
      <c r="G44">
        <v>191492634.76300001</v>
      </c>
      <c r="I44">
        <v>99616032.466000006</v>
      </c>
      <c r="K44">
        <v>636287116.43599999</v>
      </c>
      <c r="O44">
        <v>243578094.16100001</v>
      </c>
      <c r="P44">
        <v>14500055.921</v>
      </c>
      <c r="R44">
        <v>123537898.347</v>
      </c>
      <c r="S44">
        <v>3608780.9350000001</v>
      </c>
      <c r="U44">
        <v>2110272.895</v>
      </c>
      <c r="W44">
        <v>1257189.088</v>
      </c>
      <c r="Y44">
        <f t="shared" si="67"/>
        <v>4492058178.7910004</v>
      </c>
      <c r="AB44">
        <f t="shared" si="68"/>
        <v>0.74967033028239871</v>
      </c>
      <c r="AC44">
        <f t="shared" si="69"/>
        <v>2.2176033457520984E-2</v>
      </c>
      <c r="AD44">
        <f t="shared" si="70"/>
        <v>0.14211690141173089</v>
      </c>
      <c r="AE44">
        <f t="shared" si="71"/>
        <v>0</v>
      </c>
      <c r="AF44">
        <f t="shared" si="72"/>
        <v>5.7452094298444632E-2</v>
      </c>
      <c r="AG44">
        <f t="shared" si="73"/>
        <v>0.83542719585079617</v>
      </c>
      <c r="AJ44">
        <f t="shared" si="74"/>
        <v>2.7986927995183756E-4</v>
      </c>
    </row>
    <row r="45" spans="1:36" ht="15" x14ac:dyDescent="0.2">
      <c r="A45" t="s">
        <v>158</v>
      </c>
      <c r="B45">
        <v>2</v>
      </c>
      <c r="C45">
        <v>2</v>
      </c>
      <c r="D45">
        <v>38</v>
      </c>
      <c r="E45">
        <f t="shared" si="61"/>
        <v>7.3166666666666664</v>
      </c>
      <c r="F45">
        <v>3204867222.8590002</v>
      </c>
      <c r="G45">
        <v>201190292.505</v>
      </c>
      <c r="I45">
        <v>85166941.841999993</v>
      </c>
      <c r="K45">
        <v>647377880.91299999</v>
      </c>
      <c r="O45">
        <v>247958149.699</v>
      </c>
      <c r="P45">
        <v>14231198.448000001</v>
      </c>
      <c r="R45">
        <v>133504861.737</v>
      </c>
      <c r="S45">
        <v>3685259.628</v>
      </c>
      <c r="U45">
        <v>3140360.2689999999</v>
      </c>
      <c r="W45">
        <v>1339249.5009999999</v>
      </c>
      <c r="Y45">
        <f t="shared" si="67"/>
        <v>4542461417.4010019</v>
      </c>
      <c r="AB45">
        <f t="shared" si="68"/>
        <v>0.74982640519879151</v>
      </c>
      <c r="AC45">
        <f t="shared" si="69"/>
        <v>1.874907324820577E-2</v>
      </c>
      <c r="AD45">
        <f t="shared" si="70"/>
        <v>0.14320831404093645</v>
      </c>
      <c r="AE45">
        <f t="shared" si="71"/>
        <v>0</v>
      </c>
      <c r="AF45">
        <f t="shared" si="72"/>
        <v>5.7719664308566281E-2</v>
      </c>
      <c r="AG45">
        <f t="shared" si="73"/>
        <v>0.83774778367920733</v>
      </c>
      <c r="AJ45">
        <f t="shared" si="74"/>
        <v>2.9482903165003874E-4</v>
      </c>
    </row>
    <row r="46" spans="1:36" ht="15" x14ac:dyDescent="0.2">
      <c r="A46" t="s">
        <v>159</v>
      </c>
      <c r="B46">
        <v>2</v>
      </c>
      <c r="C46">
        <v>3</v>
      </c>
      <c r="D46">
        <v>14</v>
      </c>
      <c r="E46">
        <f t="shared" si="61"/>
        <v>7.916666666666667</v>
      </c>
      <c r="F46">
        <v>3187150232.053</v>
      </c>
      <c r="G46">
        <v>198189097.54800001</v>
      </c>
      <c r="I46">
        <v>71968002.025999993</v>
      </c>
      <c r="K46">
        <v>624152394.26699996</v>
      </c>
      <c r="O46">
        <v>248795453.789</v>
      </c>
      <c r="P46">
        <v>14863174.703</v>
      </c>
      <c r="R46">
        <v>150471854.79300001</v>
      </c>
      <c r="S46">
        <v>2854488.824</v>
      </c>
      <c r="U46">
        <v>3166133.67</v>
      </c>
      <c r="W46">
        <v>1465120.2890000001</v>
      </c>
      <c r="Y46">
        <f t="shared" si="67"/>
        <v>4503075951.9619999</v>
      </c>
      <c r="AB46">
        <f t="shared" si="68"/>
        <v>0.75178375086611637</v>
      </c>
      <c r="AC46">
        <f t="shared" si="69"/>
        <v>1.5981964948790922E-2</v>
      </c>
      <c r="AD46">
        <f t="shared" si="70"/>
        <v>0.13930889343842309</v>
      </c>
      <c r="AE46">
        <f t="shared" si="71"/>
        <v>0</v>
      </c>
      <c r="AF46">
        <f t="shared" si="72"/>
        <v>5.8550784242740427E-2</v>
      </c>
      <c r="AG46">
        <f t="shared" si="73"/>
        <v>0.84438378172442752</v>
      </c>
      <c r="AJ46">
        <f t="shared" si="74"/>
        <v>3.253598883584551E-4</v>
      </c>
    </row>
    <row r="47" spans="1:36" ht="15" x14ac:dyDescent="0.2">
      <c r="A47" t="s">
        <v>160</v>
      </c>
      <c r="B47">
        <v>2</v>
      </c>
      <c r="C47">
        <v>4</v>
      </c>
      <c r="D47">
        <v>17</v>
      </c>
      <c r="E47">
        <f t="shared" si="61"/>
        <v>8.9666666666666668</v>
      </c>
      <c r="F47">
        <v>3112888677.2350001</v>
      </c>
      <c r="G47">
        <v>193022479.34599999</v>
      </c>
      <c r="I47">
        <v>53413236.806999996</v>
      </c>
      <c r="K47">
        <v>609172019.33299994</v>
      </c>
      <c r="O47">
        <v>249695898.09</v>
      </c>
      <c r="P47">
        <v>15573367.851</v>
      </c>
      <c r="R47">
        <v>169425774.588</v>
      </c>
      <c r="S47">
        <v>3729112.2960000001</v>
      </c>
      <c r="U47">
        <v>4367375.6349999998</v>
      </c>
      <c r="W47">
        <v>1559150.371</v>
      </c>
      <c r="Y47">
        <f t="shared" si="67"/>
        <v>4412847091.552001</v>
      </c>
      <c r="AB47">
        <f t="shared" si="68"/>
        <v>0.74915606364649934</v>
      </c>
      <c r="AC47">
        <f t="shared" si="69"/>
        <v>1.2104030730920824E-2</v>
      </c>
      <c r="AD47">
        <f t="shared" si="70"/>
        <v>0.1390348186191554</v>
      </c>
      <c r="AE47">
        <f t="shared" si="71"/>
        <v>0</v>
      </c>
      <c r="AF47">
        <f t="shared" si="72"/>
        <v>6.0112952123093991E-2</v>
      </c>
      <c r="AG47">
        <f t="shared" si="73"/>
        <v>0.84850782991647133</v>
      </c>
      <c r="AJ47">
        <f t="shared" si="74"/>
        <v>3.5332073345229961E-4</v>
      </c>
    </row>
    <row r="48" spans="1:36" x14ac:dyDescent="0.45">
      <c r="A48" t="s">
        <v>161</v>
      </c>
      <c r="B48">
        <v>2</v>
      </c>
      <c r="C48">
        <v>5</v>
      </c>
      <c r="D48">
        <v>19</v>
      </c>
      <c r="E48">
        <f t="shared" si="61"/>
        <v>10</v>
      </c>
      <c r="F48">
        <v>3151602217.585</v>
      </c>
      <c r="G48">
        <v>189452994.18700001</v>
      </c>
      <c r="I48">
        <v>41841177.945</v>
      </c>
      <c r="K48">
        <v>591679042.99300003</v>
      </c>
      <c r="O48">
        <v>272574670.44400001</v>
      </c>
      <c r="P48">
        <v>16124959.323999999</v>
      </c>
      <c r="R48">
        <v>197713376.19600001</v>
      </c>
      <c r="S48">
        <v>4991139.4790000003</v>
      </c>
      <c r="U48">
        <v>6058970.8810000001</v>
      </c>
      <c r="W48">
        <v>1526151.923</v>
      </c>
      <c r="Y48">
        <f t="shared" si="67"/>
        <v>4473564700.9569998</v>
      </c>
      <c r="AB48">
        <f t="shared" si="68"/>
        <v>0.74684405728104708</v>
      </c>
      <c r="AC48">
        <f t="shared" si="69"/>
        <v>9.3529837482956707E-3</v>
      </c>
      <c r="AD48">
        <f t="shared" si="70"/>
        <v>0.13361559602482781</v>
      </c>
      <c r="AE48">
        <f t="shared" si="71"/>
        <v>0</v>
      </c>
      <c r="AF48">
        <f t="shared" si="72"/>
        <v>6.4534582389350587E-2</v>
      </c>
      <c r="AG48">
        <f t="shared" si="73"/>
        <v>0.85669027127184449</v>
      </c>
      <c r="AJ48">
        <f t="shared" si="74"/>
        <v>3.4114895503210683E-4</v>
      </c>
    </row>
    <row r="49" spans="1:36" x14ac:dyDescent="0.45">
      <c r="A49" t="s">
        <v>162</v>
      </c>
      <c r="B49">
        <v>2</v>
      </c>
      <c r="C49">
        <v>9</v>
      </c>
      <c r="D49">
        <v>29</v>
      </c>
      <c r="E49">
        <f t="shared" si="61"/>
        <v>14.166666666666666</v>
      </c>
      <c r="F49">
        <v>3030119937.474</v>
      </c>
      <c r="G49">
        <v>178940446.30199999</v>
      </c>
      <c r="I49">
        <v>13180056.91</v>
      </c>
      <c r="K49">
        <v>447289863.505</v>
      </c>
      <c r="O49">
        <v>264790509.72</v>
      </c>
      <c r="P49">
        <v>16391245.177999999</v>
      </c>
      <c r="R49">
        <v>284360369.39399999</v>
      </c>
      <c r="S49">
        <v>7010303.557</v>
      </c>
      <c r="U49">
        <v>12281198.537</v>
      </c>
      <c r="W49">
        <v>1622439.736</v>
      </c>
      <c r="Y49">
        <f t="shared" si="67"/>
        <v>4255986370.3130002</v>
      </c>
      <c r="AB49">
        <f t="shared" si="68"/>
        <v>0.75401096351255337</v>
      </c>
      <c r="AC49">
        <f t="shared" si="69"/>
        <v>3.0968278004684241E-3</v>
      </c>
      <c r="AD49">
        <f t="shared" si="70"/>
        <v>0.10798226828160672</v>
      </c>
      <c r="AE49">
        <f t="shared" si="71"/>
        <v>0</v>
      </c>
      <c r="AF49">
        <f t="shared" si="72"/>
        <v>6.6067353236688331E-2</v>
      </c>
      <c r="AG49">
        <f t="shared" si="73"/>
        <v>0.88853969035311708</v>
      </c>
      <c r="AJ49">
        <f t="shared" si="74"/>
        <v>3.8121356480769935E-4</v>
      </c>
    </row>
    <row r="50" spans="1:36" x14ac:dyDescent="0.45">
      <c r="A50" t="s">
        <v>163</v>
      </c>
      <c r="B50">
        <v>2</v>
      </c>
      <c r="C50">
        <v>18</v>
      </c>
      <c r="D50">
        <v>56</v>
      </c>
      <c r="E50">
        <f t="shared" si="61"/>
        <v>23.616666666666667</v>
      </c>
      <c r="F50">
        <v>3219327955.4569998</v>
      </c>
      <c r="G50">
        <v>214262492.206</v>
      </c>
      <c r="I50">
        <v>2488789.122</v>
      </c>
      <c r="K50">
        <v>267299006.50099999</v>
      </c>
      <c r="O50">
        <v>293533579.31099999</v>
      </c>
      <c r="P50">
        <v>17433275.142999999</v>
      </c>
      <c r="R50">
        <v>511139286.648</v>
      </c>
      <c r="S50">
        <v>14365503.049000001</v>
      </c>
      <c r="U50">
        <v>30855023.743999999</v>
      </c>
      <c r="W50">
        <v>1149503.598</v>
      </c>
      <c r="Y50">
        <f t="shared" si="67"/>
        <v>4571854414.7789993</v>
      </c>
      <c r="AB50">
        <f t="shared" si="68"/>
        <v>0.75102794974475962</v>
      </c>
      <c r="AC50">
        <f t="shared" si="69"/>
        <v>5.4437191043413974E-4</v>
      </c>
      <c r="AD50">
        <f t="shared" si="70"/>
        <v>6.5215119116913647E-2</v>
      </c>
      <c r="AE50">
        <f t="shared" si="71"/>
        <v>0</v>
      </c>
      <c r="AF50">
        <f t="shared" si="72"/>
        <v>6.8017663346577051E-2</v>
      </c>
      <c r="AG50">
        <f t="shared" si="73"/>
        <v>0.93398907848215273</v>
      </c>
      <c r="AJ50">
        <f t="shared" si="74"/>
        <v>2.5143049049945878E-4</v>
      </c>
    </row>
    <row r="51" spans="1:36" x14ac:dyDescent="0.45">
      <c r="A51" t="s">
        <v>164</v>
      </c>
      <c r="B51">
        <v>2</v>
      </c>
      <c r="C51">
        <v>22</v>
      </c>
      <c r="D51">
        <v>47</v>
      </c>
      <c r="E51">
        <f t="shared" si="61"/>
        <v>27.466666666666665</v>
      </c>
      <c r="F51">
        <v>3156383256.3590002</v>
      </c>
      <c r="G51">
        <v>201604308.58399999</v>
      </c>
      <c r="I51">
        <v>1157209.4210000001</v>
      </c>
      <c r="K51">
        <v>201655607.984</v>
      </c>
      <c r="O51">
        <v>296184429.82099998</v>
      </c>
      <c r="P51">
        <v>18769865.645</v>
      </c>
      <c r="R51">
        <v>596426328.88</v>
      </c>
      <c r="S51">
        <v>17366915.763999999</v>
      </c>
      <c r="U51">
        <v>37971140.816</v>
      </c>
      <c r="W51">
        <v>1153054.6459999999</v>
      </c>
      <c r="Y51">
        <f t="shared" si="67"/>
        <v>4528672117.9200001</v>
      </c>
      <c r="AB51">
        <f t="shared" si="68"/>
        <v>0.74149496309423912</v>
      </c>
      <c r="AC51">
        <f t="shared" si="69"/>
        <v>2.5552952187042003E-4</v>
      </c>
      <c r="AD51">
        <f t="shared" si="70"/>
        <v>5.291324753933821E-2</v>
      </c>
      <c r="AE51">
        <f t="shared" si="71"/>
        <v>0</v>
      </c>
      <c r="AF51">
        <f t="shared" si="72"/>
        <v>6.9546720819050403E-2</v>
      </c>
      <c r="AG51">
        <f t="shared" si="73"/>
        <v>0.94657661085472444</v>
      </c>
      <c r="AJ51">
        <f t="shared" si="74"/>
        <v>2.5461208406706048E-4</v>
      </c>
    </row>
    <row r="52" spans="1:36" x14ac:dyDescent="0.45">
      <c r="A52" t="s">
        <v>165</v>
      </c>
      <c r="B52">
        <v>3</v>
      </c>
      <c r="C52">
        <v>8</v>
      </c>
      <c r="D52">
        <v>37</v>
      </c>
      <c r="E52">
        <f t="shared" si="61"/>
        <v>37.299999999999997</v>
      </c>
      <c r="F52">
        <v>2968229763.4860001</v>
      </c>
      <c r="G52">
        <v>179491606.48899999</v>
      </c>
      <c r="I52">
        <v>220492.97899999999</v>
      </c>
      <c r="K52">
        <v>94850578.671000004</v>
      </c>
      <c r="O52">
        <v>289616172.89999998</v>
      </c>
      <c r="P52">
        <v>17167810.116999999</v>
      </c>
      <c r="R52">
        <v>801116801.04999995</v>
      </c>
      <c r="S52">
        <v>24899057.219999999</v>
      </c>
      <c r="U52">
        <v>54247300.254000001</v>
      </c>
      <c r="W52">
        <v>654732.13100000005</v>
      </c>
      <c r="Y52">
        <f t="shared" si="67"/>
        <v>4430494315.2969999</v>
      </c>
      <c r="AB52">
        <f t="shared" si="68"/>
        <v>0.71046730815272274</v>
      </c>
      <c r="AC52">
        <f t="shared" si="69"/>
        <v>4.97671282950781E-5</v>
      </c>
      <c r="AD52">
        <f t="shared" si="70"/>
        <v>3.3652650994318044E-2</v>
      </c>
      <c r="AE52">
        <f t="shared" si="71"/>
        <v>0</v>
      </c>
      <c r="AF52">
        <f t="shared" si="72"/>
        <v>6.9243736970337269E-2</v>
      </c>
      <c r="AG52">
        <f t="shared" si="73"/>
        <v>0.96614980330361933</v>
      </c>
      <c r="AJ52">
        <f t="shared" si="74"/>
        <v>1.4777857376758869E-4</v>
      </c>
    </row>
    <row r="53" spans="1:36" x14ac:dyDescent="0.45">
      <c r="A53" t="s">
        <v>166</v>
      </c>
      <c r="B53">
        <v>3</v>
      </c>
      <c r="C53">
        <v>17</v>
      </c>
      <c r="D53">
        <v>23</v>
      </c>
      <c r="E53">
        <f t="shared" si="61"/>
        <v>46.06666666666667</v>
      </c>
      <c r="F53">
        <v>2664481014.3140001</v>
      </c>
      <c r="G53">
        <v>194301976.52500001</v>
      </c>
      <c r="K53">
        <v>47252023.386</v>
      </c>
      <c r="O53">
        <v>263259039.88299999</v>
      </c>
      <c r="P53">
        <v>16062264.732999999</v>
      </c>
      <c r="R53">
        <v>904027718.43099999</v>
      </c>
      <c r="S53">
        <v>39263942.163000003</v>
      </c>
      <c r="U53">
        <v>65435548.842</v>
      </c>
      <c r="W53">
        <v>762147.17</v>
      </c>
      <c r="Y53">
        <f t="shared" si="67"/>
        <v>4194845675.4470005</v>
      </c>
      <c r="AB53">
        <f t="shared" si="68"/>
        <v>0.68149896611735783</v>
      </c>
      <c r="AC53">
        <f t="shared" si="69"/>
        <v>0</v>
      </c>
      <c r="AD53">
        <f t="shared" si="70"/>
        <v>2.6863341573582937E-2</v>
      </c>
      <c r="AE53">
        <f t="shared" si="71"/>
        <v>0</v>
      </c>
      <c r="AF53">
        <f t="shared" si="72"/>
        <v>6.6586789175798619E-2</v>
      </c>
      <c r="AG53">
        <f t="shared" si="73"/>
        <v>0.97295497184508206</v>
      </c>
      <c r="AJ53">
        <f t="shared" si="74"/>
        <v>1.8168658133502994E-4</v>
      </c>
    </row>
    <row r="54" spans="1:36" x14ac:dyDescent="0.45">
      <c r="A54" t="s">
        <v>167</v>
      </c>
      <c r="B54">
        <v>4</v>
      </c>
      <c r="C54">
        <v>8</v>
      </c>
      <c r="D54">
        <v>59</v>
      </c>
      <c r="E54">
        <f t="shared" si="61"/>
        <v>61.666666666666664</v>
      </c>
      <c r="F54">
        <v>2240396600.1739998</v>
      </c>
      <c r="G54">
        <v>164300915.914</v>
      </c>
      <c r="K54">
        <v>14121098.203</v>
      </c>
      <c r="O54">
        <v>237226760.39300001</v>
      </c>
      <c r="P54">
        <v>15863686.983999999</v>
      </c>
      <c r="R54">
        <v>1082384841.402</v>
      </c>
      <c r="S54">
        <v>59927077.303000003</v>
      </c>
      <c r="U54">
        <v>69126348.900999993</v>
      </c>
      <c r="W54">
        <v>326476.07</v>
      </c>
      <c r="Y54">
        <f t="shared" si="67"/>
        <v>3883673805.3440003</v>
      </c>
      <c r="AB54">
        <f t="shared" si="68"/>
        <v>0.61918112504173128</v>
      </c>
      <c r="AC54">
        <f t="shared" si="69"/>
        <v>0</v>
      </c>
      <c r="AD54">
        <f t="shared" si="70"/>
        <v>2.1435231504110901E-2</v>
      </c>
      <c r="AE54">
        <f t="shared" si="71"/>
        <v>0</v>
      </c>
      <c r="AF54">
        <f t="shared" si="72"/>
        <v>6.5167792163374608E-2</v>
      </c>
      <c r="AG54">
        <f t="shared" si="73"/>
        <v>0.9784807047752051</v>
      </c>
      <c r="AJ54">
        <f t="shared" si="74"/>
        <v>8.4063720683947102E-5</v>
      </c>
    </row>
    <row r="55" spans="1:36" x14ac:dyDescent="0.45">
      <c r="A55" t="s">
        <v>168</v>
      </c>
      <c r="B55">
        <v>4</v>
      </c>
      <c r="C55">
        <v>18</v>
      </c>
      <c r="D55">
        <v>48</v>
      </c>
      <c r="E55">
        <f t="shared" si="61"/>
        <v>71.483333333333334</v>
      </c>
      <c r="F55">
        <v>2085032701.5120001</v>
      </c>
      <c r="G55">
        <v>130225553.639</v>
      </c>
      <c r="K55">
        <v>7392877.0379999997</v>
      </c>
      <c r="O55">
        <v>217729338.495</v>
      </c>
      <c r="P55">
        <v>14180432.312000001</v>
      </c>
      <c r="R55">
        <v>1146045542.188</v>
      </c>
      <c r="S55">
        <v>65769839.332999997</v>
      </c>
      <c r="U55">
        <v>64086413.027999997</v>
      </c>
      <c r="W55">
        <v>129002.308</v>
      </c>
      <c r="Y55">
        <f t="shared" si="67"/>
        <v>3730591699.8530002</v>
      </c>
      <c r="AB55">
        <f t="shared" si="68"/>
        <v>0.5938088199891427</v>
      </c>
      <c r="AC55">
        <f t="shared" si="69"/>
        <v>0</v>
      </c>
      <c r="AD55">
        <f t="shared" si="70"/>
        <v>1.9160309092205549E-2</v>
      </c>
      <c r="AE55">
        <f t="shared" si="71"/>
        <v>0</v>
      </c>
      <c r="AF55">
        <f t="shared" si="72"/>
        <v>6.2164339993609638E-2</v>
      </c>
      <c r="AG55">
        <f t="shared" si="73"/>
        <v>0.98080511132407711</v>
      </c>
      <c r="AJ55">
        <f t="shared" si="74"/>
        <v>3.45795837172648E-5</v>
      </c>
    </row>
    <row r="74" spans="1:48" x14ac:dyDescent="0.45">
      <c r="B74" t="s">
        <v>14</v>
      </c>
      <c r="C74" t="s">
        <v>15</v>
      </c>
      <c r="D74" t="s">
        <v>16</v>
      </c>
      <c r="E74" t="s">
        <v>10</v>
      </c>
      <c r="F74" s="1">
        <v>395.87</v>
      </c>
      <c r="G74" s="1">
        <v>593.29999999999995</v>
      </c>
      <c r="H74" s="1"/>
      <c r="I74" s="1">
        <v>693.3</v>
      </c>
      <c r="J74" s="1"/>
      <c r="K74" s="1">
        <v>669.3</v>
      </c>
      <c r="L74" s="1"/>
      <c r="M74" s="1">
        <v>793.3</v>
      </c>
      <c r="O74" s="1">
        <v>399.87869999999998</v>
      </c>
      <c r="P74" s="1">
        <v>599.30340000000001</v>
      </c>
      <c r="R74" s="1">
        <v>409.54649999999998</v>
      </c>
      <c r="S74" s="1">
        <v>614.30830000000003</v>
      </c>
      <c r="U74" s="1">
        <v>628.28800000000001</v>
      </c>
      <c r="W74" s="1">
        <v>684.31370000000004</v>
      </c>
      <c r="Y74" t="s">
        <v>0</v>
      </c>
      <c r="AB74" t="s">
        <v>1</v>
      </c>
      <c r="AC74" t="s">
        <v>2</v>
      </c>
      <c r="AD74" t="s">
        <v>3</v>
      </c>
      <c r="AE74" t="s">
        <v>4</v>
      </c>
      <c r="AF74" t="s">
        <v>7</v>
      </c>
      <c r="AG74" t="s">
        <v>8</v>
      </c>
      <c r="AJ74">
        <v>684</v>
      </c>
      <c r="AM74" t="s">
        <v>25</v>
      </c>
      <c r="AN74" t="s">
        <v>20</v>
      </c>
      <c r="AO74" t="s">
        <v>21</v>
      </c>
      <c r="AP74" t="s">
        <v>22</v>
      </c>
      <c r="AQ74" t="s">
        <v>2</v>
      </c>
      <c r="AR74" t="s">
        <v>22</v>
      </c>
      <c r="AS74" t="s">
        <v>23</v>
      </c>
      <c r="AT74" t="s">
        <v>22</v>
      </c>
      <c r="AU74" t="s">
        <v>24</v>
      </c>
      <c r="AV74" t="s">
        <v>22</v>
      </c>
    </row>
    <row r="75" spans="1:48" x14ac:dyDescent="0.45">
      <c r="B75">
        <v>1</v>
      </c>
      <c r="C75">
        <v>19</v>
      </c>
      <c r="D75">
        <v>29</v>
      </c>
      <c r="E75">
        <v>0</v>
      </c>
      <c r="AC75">
        <v>0</v>
      </c>
      <c r="AD75">
        <v>0</v>
      </c>
      <c r="AE75">
        <v>0</v>
      </c>
      <c r="AG75">
        <v>1</v>
      </c>
      <c r="AN75">
        <f>AVERAGE(E75,E132)</f>
        <v>3.3166666666666669</v>
      </c>
      <c r="AO75">
        <f>AVERAGE(AG75,AG133)</f>
        <v>0.84329338984124103</v>
      </c>
      <c r="AP75">
        <f>_xlfn.STDEV.P(AG75,AG132)</f>
        <v>0.16455719172204866</v>
      </c>
      <c r="AQ75">
        <f>AVERAGE(AC75,AC132)</f>
        <v>2.6371370866008669E-2</v>
      </c>
      <c r="AR75">
        <f>_xlfn.STDEV.P(AC75,AC132)</f>
        <v>2.6371370866008669E-2</v>
      </c>
      <c r="AS75">
        <f>AVERAGE(AD75,AD132)</f>
        <v>0.1454444504360364</v>
      </c>
      <c r="AT75">
        <f>_xlfn.STDEV.P(AD75,AD132)</f>
        <v>0.1454444504360364</v>
      </c>
      <c r="AU75">
        <f>AVERAGE(AE75,AE132)</f>
        <v>0</v>
      </c>
      <c r="AV75">
        <f>STDEV(AE75,AE132)</f>
        <v>0</v>
      </c>
    </row>
    <row r="76" spans="1:48" x14ac:dyDescent="0.45">
      <c r="A76" t="s">
        <v>52</v>
      </c>
      <c r="B76">
        <v>1</v>
      </c>
      <c r="C76">
        <v>19</v>
      </c>
      <c r="D76">
        <v>32</v>
      </c>
      <c r="E76">
        <f>(B76-$B$75)*24+(C76-$C$75)+(D76-$D$75)/60</f>
        <v>0.05</v>
      </c>
      <c r="F76">
        <v>4184912251.5900002</v>
      </c>
      <c r="G76">
        <v>266353993.43000001</v>
      </c>
      <c r="I76">
        <v>6666767.3540000003</v>
      </c>
      <c r="K76">
        <v>265026.89600000001</v>
      </c>
      <c r="O76">
        <v>82679378.383000001</v>
      </c>
      <c r="P76">
        <v>4189427.9580000001</v>
      </c>
      <c r="R76">
        <v>6623349.7920000004</v>
      </c>
      <c r="Y76">
        <f>SUM(F76,G76,I76,K76,M76,O76,P76,R76,S76,U76,W76)</f>
        <v>4551690195.4030008</v>
      </c>
      <c r="AB76">
        <f>(F76+G76)/Y76</f>
        <v>0.9779369978904926</v>
      </c>
      <c r="AC76">
        <f>I76/Y76</f>
        <v>1.4646795075669101E-3</v>
      </c>
      <c r="AD76">
        <f>(K76+U76)/Y76</f>
        <v>5.822604013508324E-5</v>
      </c>
      <c r="AE76">
        <f t="shared" ref="AE76:AE91" si="75">M76/Y76</f>
        <v>0</v>
      </c>
      <c r="AF76">
        <f t="shared" ref="AF76:AF91" si="76">SUM(O76:P76)/Y76</f>
        <v>1.9084955832172745E-2</v>
      </c>
      <c r="AG76">
        <f>AB76+AF76+SUM(R76:S76)/Y76</f>
        <v>0.99847709445229782</v>
      </c>
      <c r="AJ76">
        <f t="shared" ref="AJ76" si="77">W76/Y76</f>
        <v>0</v>
      </c>
      <c r="AN76">
        <f>AVERAGE(E76,E133)</f>
        <v>3.6416666666666666</v>
      </c>
      <c r="AO76">
        <f>AVERAGE(AG76,AG134)</f>
        <v>0.84359806122227599</v>
      </c>
      <c r="AP76">
        <f>_xlfn.STDEV.P(AG76,AG133)</f>
        <v>0.15594515738490797</v>
      </c>
      <c r="AQ76">
        <f>AVERAGE(AC76,AC133)</f>
        <v>2.1999207246136809E-2</v>
      </c>
      <c r="AR76">
        <f>_xlfn.STDEV.P(AC76,AC133)</f>
        <v>2.0534527738569903E-2</v>
      </c>
      <c r="AS76">
        <f>AVERAGE(AD76,AD133)</f>
        <v>0.14320223701463658</v>
      </c>
      <c r="AT76">
        <f>_xlfn.STDEV.P(AD76,AD133)</f>
        <v>0.14314401097450152</v>
      </c>
      <c r="AU76">
        <f>AVERAGE(AE76,AE133)</f>
        <v>0</v>
      </c>
      <c r="AV76">
        <f>STDEV(AE76,AE133)</f>
        <v>0</v>
      </c>
    </row>
    <row r="77" spans="1:48" x14ac:dyDescent="0.45">
      <c r="A77" t="s">
        <v>53</v>
      </c>
      <c r="B77">
        <v>1</v>
      </c>
      <c r="C77">
        <v>20</v>
      </c>
      <c r="D77">
        <v>3</v>
      </c>
      <c r="E77">
        <f t="shared" ref="E77:E101" si="78">(B77-$B$75)*24+(C77-$C$75)+(D77-$D$75)/60</f>
        <v>0.56666666666666665</v>
      </c>
      <c r="F77">
        <v>4095510063.0630002</v>
      </c>
      <c r="G77">
        <v>268104222.873</v>
      </c>
      <c r="I77">
        <v>63963397.799000002</v>
      </c>
      <c r="K77">
        <v>11735004.754000001</v>
      </c>
      <c r="O77">
        <v>175051085.53</v>
      </c>
      <c r="P77">
        <v>10776066.802999999</v>
      </c>
      <c r="R77">
        <v>10884778.596000001</v>
      </c>
      <c r="Y77">
        <f t="shared" ref="Y77:Y91" si="79">SUM(F77,G77,I77,K77,M77,O77,P77,R77,S77,U77,W77)</f>
        <v>4636024619.4179993</v>
      </c>
      <c r="AB77">
        <f t="shared" ref="AB77:AB91" si="80">(F77+G77)/Y77</f>
        <v>0.94124053346459635</v>
      </c>
      <c r="AC77">
        <f t="shared" ref="AC77:AC91" si="81">I77/Y77</f>
        <v>1.3797035833478789E-2</v>
      </c>
      <c r="AD77">
        <f t="shared" ref="AD77:AD91" si="82">(K77+U77)/Y77</f>
        <v>2.5312645461044161E-3</v>
      </c>
      <c r="AE77">
        <f t="shared" si="75"/>
        <v>0</v>
      </c>
      <c r="AF77">
        <f t="shared" si="76"/>
        <v>4.0083297132345368E-2</v>
      </c>
      <c r="AG77">
        <f t="shared" ref="AG76:AG91" si="83">AB77+AF77+SUM(R77:S77)/Y77</f>
        <v>0.9836716996204169</v>
      </c>
      <c r="AJ77">
        <f t="shared" ref="AJ77:AJ91" si="84">W77/Y77</f>
        <v>0</v>
      </c>
      <c r="AN77">
        <f>AVERAGE(E77,E134)</f>
        <v>4.2</v>
      </c>
      <c r="AO77">
        <f>AVERAGE(AG77,AG135)</f>
        <v>0.84227194726271248</v>
      </c>
      <c r="AP77">
        <f>_xlfn.STDEV.P(AG77,AG134)</f>
        <v>0.14747633581408165</v>
      </c>
      <c r="AQ77">
        <f>AVERAGE(AC77,AC134)</f>
        <v>2.4980334178534291E-2</v>
      </c>
      <c r="AR77">
        <f>_xlfn.STDEV.P(AC77,AC134)</f>
        <v>1.1183298345055492E-2</v>
      </c>
      <c r="AS77">
        <f>AVERAGE(AD77,AD134)</f>
        <v>0.14712149088786036</v>
      </c>
      <c r="AT77">
        <f>_xlfn.STDEV.P(AD77,AD134)</f>
        <v>0.14459022634175595</v>
      </c>
      <c r="AU77">
        <f>AVERAGE(AE77,AE134)</f>
        <v>0</v>
      </c>
      <c r="AV77">
        <f>STDEV(AE77,AE134)</f>
        <v>0</v>
      </c>
    </row>
    <row r="78" spans="1:48" x14ac:dyDescent="0.45">
      <c r="A78" t="s">
        <v>54</v>
      </c>
      <c r="B78">
        <v>1</v>
      </c>
      <c r="C78">
        <v>20</v>
      </c>
      <c r="D78">
        <v>39</v>
      </c>
      <c r="E78">
        <f t="shared" si="78"/>
        <v>1.1666666666666667</v>
      </c>
      <c r="F78">
        <v>4109264936.8470001</v>
      </c>
      <c r="G78">
        <v>280103302.19</v>
      </c>
      <c r="I78">
        <v>72800380.541999996</v>
      </c>
      <c r="K78">
        <v>26006027.776000001</v>
      </c>
      <c r="O78">
        <v>212364887.79499999</v>
      </c>
      <c r="P78">
        <v>14065275.762</v>
      </c>
      <c r="R78">
        <v>18805540.449999999</v>
      </c>
      <c r="Y78">
        <f t="shared" si="79"/>
        <v>4733410351.3619995</v>
      </c>
      <c r="AB78">
        <f t="shared" si="80"/>
        <v>0.92731622935966151</v>
      </c>
      <c r="AC78">
        <f t="shared" si="81"/>
        <v>1.5380111830163275E-2</v>
      </c>
      <c r="AD78">
        <f t="shared" si="82"/>
        <v>5.4941418228227311E-3</v>
      </c>
      <c r="AE78">
        <f t="shared" si="75"/>
        <v>0</v>
      </c>
      <c r="AF78">
        <f t="shared" si="76"/>
        <v>4.7836580129133867E-2</v>
      </c>
      <c r="AG78">
        <f t="shared" si="83"/>
        <v>0.97912574634701399</v>
      </c>
      <c r="AJ78">
        <f t="shared" si="84"/>
        <v>0</v>
      </c>
      <c r="AN78">
        <f>AVERAGE(E78,E135)</f>
        <v>5.0249999999999995</v>
      </c>
      <c r="AO78">
        <f>AVERAGE(AG78,AG136)</f>
        <v>0.84266482601932058</v>
      </c>
      <c r="AP78">
        <f>_xlfn.STDEV.P(AG78,AG135)</f>
        <v>0.13912677572100232</v>
      </c>
      <c r="AQ78">
        <f>AVERAGE(AC78,AC135)</f>
        <v>2.1295880558312014E-2</v>
      </c>
      <c r="AR78">
        <f>_xlfn.STDEV.P(AC78,AC135)</f>
        <v>5.9157687281487289E-3</v>
      </c>
      <c r="AS78">
        <f>AVERAGE(AD78,AD135)</f>
        <v>0.1485437509600506</v>
      </c>
      <c r="AT78">
        <f>_xlfn.STDEV.P(AD78,AD135)</f>
        <v>0.14304960913722789</v>
      </c>
      <c r="AU78">
        <f>AVERAGE(AE78,AE135)</f>
        <v>0</v>
      </c>
      <c r="AV78">
        <f>STDEV(AE78,AE135)</f>
        <v>0</v>
      </c>
    </row>
    <row r="79" spans="1:48" x14ac:dyDescent="0.45">
      <c r="A79" t="s">
        <v>55</v>
      </c>
      <c r="B79">
        <v>1</v>
      </c>
      <c r="C79">
        <v>21</v>
      </c>
      <c r="D79">
        <v>16</v>
      </c>
      <c r="E79">
        <f t="shared" si="78"/>
        <v>1.7833333333333332</v>
      </c>
      <c r="F79">
        <v>4063669017.9860001</v>
      </c>
      <c r="G79">
        <v>261432243.59299999</v>
      </c>
      <c r="I79">
        <v>59731680.347999997</v>
      </c>
      <c r="K79">
        <v>36833615.321000002</v>
      </c>
      <c r="O79">
        <v>254635944.361</v>
      </c>
      <c r="P79">
        <v>16413792.549000001</v>
      </c>
      <c r="R79">
        <v>24169798.114999998</v>
      </c>
      <c r="S79">
        <v>869144.304</v>
      </c>
      <c r="Y79">
        <f t="shared" si="79"/>
        <v>4717755236.5769997</v>
      </c>
      <c r="AB79">
        <f t="shared" ref="AB79:AB89" si="85">(F79+G79)/Y79</f>
        <v>0.91677101602182909</v>
      </c>
      <c r="AC79">
        <f t="shared" ref="AC79:AC89" si="86">I79/Y79</f>
        <v>1.2661038428805548E-2</v>
      </c>
      <c r="AD79">
        <f t="shared" ref="AD79:AD89" si="87">(K79+U79)/Y79</f>
        <v>7.8074451670207649E-3</v>
      </c>
      <c r="AE79">
        <f t="shared" ref="AE79:AE89" si="88">M79/Y79</f>
        <v>0</v>
      </c>
      <c r="AF79">
        <f t="shared" ref="AF79:AF89" si="89">SUM(O79:P79)/Y79</f>
        <v>5.745311558525492E-2</v>
      </c>
      <c r="AG79">
        <f t="shared" ref="AG79:AG89" si="90">AB79+AF79+SUM(R79:S79)/Y79</f>
        <v>0.97953151640417391</v>
      </c>
    </row>
    <row r="80" spans="1:48" x14ac:dyDescent="0.45">
      <c r="A80" t="s">
        <v>56</v>
      </c>
      <c r="B80">
        <v>1</v>
      </c>
      <c r="C80">
        <v>21</v>
      </c>
      <c r="D80">
        <v>52</v>
      </c>
      <c r="E80">
        <f>(B80-$B$75)*24+(C80-$C$75)+(D80-$D$75)/60</f>
        <v>2.3833333333333333</v>
      </c>
      <c r="F80">
        <v>4002374357.131</v>
      </c>
      <c r="G80">
        <v>258851755.38800001</v>
      </c>
      <c r="I80">
        <v>54683995.586000003</v>
      </c>
      <c r="K80">
        <v>47827425.464000002</v>
      </c>
      <c r="O80">
        <v>266575707.54100001</v>
      </c>
      <c r="P80">
        <v>15271226.800000001</v>
      </c>
      <c r="R80">
        <v>29888498.929000001</v>
      </c>
      <c r="Y80">
        <f t="shared" si="79"/>
        <v>4675472966.8390007</v>
      </c>
      <c r="AB80">
        <f t="shared" si="85"/>
        <v>0.91140001081001543</v>
      </c>
      <c r="AC80">
        <f t="shared" si="86"/>
        <v>1.169592808553245E-2</v>
      </c>
      <c r="AD80">
        <f t="shared" si="87"/>
        <v>1.0229430434785558E-2</v>
      </c>
      <c r="AE80">
        <f t="shared" si="88"/>
        <v>0</v>
      </c>
      <c r="AF80">
        <f t="shared" si="89"/>
        <v>6.0282015603557525E-2</v>
      </c>
      <c r="AG80">
        <f>AB80+AF80+SUM(R80:S80)/Y80</f>
        <v>0.97807464147968182</v>
      </c>
    </row>
    <row r="81" spans="1:48" x14ac:dyDescent="0.45">
      <c r="A81" t="s">
        <v>57</v>
      </c>
      <c r="B81">
        <v>1</v>
      </c>
      <c r="C81">
        <v>22</v>
      </c>
      <c r="D81">
        <v>29</v>
      </c>
      <c r="E81">
        <f t="shared" si="78"/>
        <v>3</v>
      </c>
      <c r="F81">
        <v>4088295714.8260002</v>
      </c>
      <c r="G81">
        <v>269339872.16600001</v>
      </c>
      <c r="I81">
        <v>47085910.530000001</v>
      </c>
      <c r="K81">
        <v>57741571.872000001</v>
      </c>
      <c r="O81">
        <v>294121350.68400002</v>
      </c>
      <c r="P81">
        <v>18985386.693999998</v>
      </c>
      <c r="R81">
        <v>37147814.964000002</v>
      </c>
      <c r="S81">
        <v>824601.70799999998</v>
      </c>
      <c r="Y81">
        <f t="shared" si="79"/>
        <v>4813542223.4440002</v>
      </c>
      <c r="AB81">
        <f t="shared" si="85"/>
        <v>0.9052866651441136</v>
      </c>
      <c r="AC81">
        <f t="shared" si="86"/>
        <v>9.7819668643751717E-3</v>
      </c>
      <c r="AD81">
        <f t="shared" si="87"/>
        <v>1.1995650851627303E-2</v>
      </c>
      <c r="AE81">
        <f t="shared" si="88"/>
        <v>0</v>
      </c>
      <c r="AF81">
        <f t="shared" si="89"/>
        <v>6.5047053260078799E-2</v>
      </c>
      <c r="AG81">
        <f t="shared" si="90"/>
        <v>0.9782223822839976</v>
      </c>
    </row>
    <row r="82" spans="1:48" x14ac:dyDescent="0.45">
      <c r="A82" t="s">
        <v>58</v>
      </c>
      <c r="B82">
        <v>1</v>
      </c>
      <c r="C82">
        <v>23</v>
      </c>
      <c r="D82">
        <v>5</v>
      </c>
      <c r="E82">
        <f t="shared" si="78"/>
        <v>3.6</v>
      </c>
      <c r="F82">
        <v>3958077865.408</v>
      </c>
      <c r="G82">
        <v>237704067.47299999</v>
      </c>
      <c r="I82">
        <v>36190693.685000002</v>
      </c>
      <c r="K82">
        <v>64675331.869000003</v>
      </c>
      <c r="O82">
        <v>305642975.13700002</v>
      </c>
      <c r="P82">
        <v>17674822.022</v>
      </c>
      <c r="R82">
        <v>46760196.840000004</v>
      </c>
      <c r="Y82">
        <f t="shared" si="79"/>
        <v>4666725952.434001</v>
      </c>
      <c r="AB82">
        <f>(F82+G82)/Y82</f>
        <v>0.89908470641877458</v>
      </c>
      <c r="AC82">
        <f t="shared" si="86"/>
        <v>7.7550501259076943E-3</v>
      </c>
      <c r="AD82">
        <f t="shared" si="87"/>
        <v>1.3858823622430114E-2</v>
      </c>
      <c r="AE82">
        <f t="shared" si="88"/>
        <v>0</v>
      </c>
      <c r="AF82">
        <f t="shared" si="89"/>
        <v>6.9281504946817965E-2</v>
      </c>
      <c r="AG82">
        <f t="shared" si="90"/>
        <v>0.97838612625166199</v>
      </c>
    </row>
    <row r="83" spans="1:48" x14ac:dyDescent="0.45">
      <c r="A83" t="s">
        <v>59</v>
      </c>
      <c r="B83">
        <v>1</v>
      </c>
      <c r="C83">
        <v>23</v>
      </c>
      <c r="D83">
        <v>41</v>
      </c>
      <c r="E83">
        <f t="shared" si="78"/>
        <v>4.2</v>
      </c>
      <c r="F83">
        <v>4046788404.0489998</v>
      </c>
      <c r="G83">
        <v>257030045.88800001</v>
      </c>
      <c r="I83">
        <v>31226560.138999999</v>
      </c>
      <c r="K83">
        <v>69321997.407000005</v>
      </c>
      <c r="O83">
        <v>317431938.66500002</v>
      </c>
      <c r="P83">
        <v>19287575.339000002</v>
      </c>
      <c r="R83">
        <v>53353775.348999999</v>
      </c>
      <c r="Y83">
        <f t="shared" si="79"/>
        <v>4794440296.8359995</v>
      </c>
      <c r="AB83">
        <f t="shared" si="85"/>
        <v>0.897668587671688</v>
      </c>
      <c r="AC83">
        <f t="shared" si="86"/>
        <v>6.5130772740266216E-3</v>
      </c>
      <c r="AD83">
        <f t="shared" si="87"/>
        <v>1.4458830043779614E-2</v>
      </c>
      <c r="AE83">
        <f t="shared" si="88"/>
        <v>0</v>
      </c>
      <c r="AF83">
        <f t="shared" si="89"/>
        <v>7.0231245600495165E-2</v>
      </c>
      <c r="AG83">
        <f t="shared" si="90"/>
        <v>0.97902809268219393</v>
      </c>
    </row>
    <row r="84" spans="1:48" x14ac:dyDescent="0.45">
      <c r="A84" t="s">
        <v>60</v>
      </c>
      <c r="B84">
        <v>2</v>
      </c>
      <c r="C84">
        <v>0</v>
      </c>
      <c r="D84">
        <v>18</v>
      </c>
      <c r="E84">
        <f t="shared" si="78"/>
        <v>4.8166666666666664</v>
      </c>
      <c r="F84">
        <v>3999804448.0419998</v>
      </c>
      <c r="G84">
        <v>258483646.315</v>
      </c>
      <c r="I84">
        <v>25323583.888</v>
      </c>
      <c r="K84">
        <v>72532791.746000007</v>
      </c>
      <c r="O84">
        <v>339418212.78299999</v>
      </c>
      <c r="P84">
        <v>21606445.602000002</v>
      </c>
      <c r="R84">
        <v>61828663.934</v>
      </c>
      <c r="S84">
        <v>144979.85</v>
      </c>
      <c r="W84">
        <v>137987.655</v>
      </c>
      <c r="Y84">
        <f t="shared" si="79"/>
        <v>4779280759.8150005</v>
      </c>
      <c r="AB84">
        <f t="shared" si="85"/>
        <v>0.89098931583208185</v>
      </c>
      <c r="AC84">
        <f t="shared" si="86"/>
        <v>5.2986181730366143E-3</v>
      </c>
      <c r="AD84">
        <f t="shared" si="87"/>
        <v>1.5176507803405894E-2</v>
      </c>
      <c r="AE84">
        <f t="shared" si="88"/>
        <v>0</v>
      </c>
      <c r="AF84">
        <f t="shared" si="89"/>
        <v>7.5539537543087287E-2</v>
      </c>
      <c r="AG84">
        <f t="shared" si="90"/>
        <v>0.97949600196896691</v>
      </c>
    </row>
    <row r="85" spans="1:48" x14ac:dyDescent="0.45">
      <c r="A85" t="s">
        <v>61</v>
      </c>
      <c r="B85">
        <v>2</v>
      </c>
      <c r="C85">
        <v>0</v>
      </c>
      <c r="D85">
        <v>54</v>
      </c>
      <c r="E85">
        <f t="shared" si="78"/>
        <v>5.416666666666667</v>
      </c>
      <c r="F85">
        <v>4078389141.9169998</v>
      </c>
      <c r="G85">
        <v>263868965.15700001</v>
      </c>
      <c r="I85">
        <v>22175255.384</v>
      </c>
      <c r="K85">
        <v>80136614.515000001</v>
      </c>
      <c r="O85">
        <v>359951712.78600001</v>
      </c>
      <c r="P85">
        <v>21987549.688999999</v>
      </c>
      <c r="R85">
        <v>70573850.541999996</v>
      </c>
      <c r="W85">
        <v>169570.87700000001</v>
      </c>
      <c r="Y85">
        <f t="shared" si="79"/>
        <v>4897252660.8669996</v>
      </c>
      <c r="AB85">
        <f t="shared" si="85"/>
        <v>0.88667226458870407</v>
      </c>
      <c r="AC85">
        <f t="shared" si="86"/>
        <v>4.5281011456072473E-3</v>
      </c>
      <c r="AD85">
        <f t="shared" si="87"/>
        <v>1.6363585884664723E-2</v>
      </c>
      <c r="AE85">
        <f t="shared" si="88"/>
        <v>0</v>
      </c>
      <c r="AF85">
        <f t="shared" si="89"/>
        <v>7.799051609630088E-2</v>
      </c>
      <c r="AG85">
        <f t="shared" si="90"/>
        <v>0.97907368725430288</v>
      </c>
    </row>
    <row r="86" spans="1:48" x14ac:dyDescent="0.45">
      <c r="A86" t="s">
        <v>62</v>
      </c>
      <c r="B86">
        <v>2</v>
      </c>
      <c r="C86">
        <v>1</v>
      </c>
      <c r="D86">
        <v>30</v>
      </c>
      <c r="E86">
        <f t="shared" si="78"/>
        <v>6.0166666666666666</v>
      </c>
      <c r="F86">
        <v>3930914455.6830001</v>
      </c>
      <c r="G86">
        <v>243660828.947</v>
      </c>
      <c r="I86">
        <v>18253699.195999999</v>
      </c>
      <c r="K86">
        <v>80209954.665999994</v>
      </c>
      <c r="O86">
        <v>359126145.74299997</v>
      </c>
      <c r="P86">
        <v>24165599.919</v>
      </c>
      <c r="R86">
        <v>73273927.344999999</v>
      </c>
      <c r="S86">
        <v>1277719.2590000001</v>
      </c>
      <c r="W86">
        <v>142968.889</v>
      </c>
      <c r="Y86">
        <f t="shared" si="79"/>
        <v>4731025299.6469994</v>
      </c>
      <c r="AB86">
        <f t="shared" si="85"/>
        <v>0.88238278601923392</v>
      </c>
      <c r="AC86">
        <f t="shared" si="86"/>
        <v>3.8582966777543927E-3</v>
      </c>
      <c r="AD86">
        <f t="shared" si="87"/>
        <v>1.6954032072494893E-2</v>
      </c>
      <c r="AE86">
        <f t="shared" si="88"/>
        <v>0</v>
      </c>
      <c r="AF86">
        <f t="shared" si="89"/>
        <v>8.1016634109016258E-2</v>
      </c>
      <c r="AG86">
        <f t="shared" si="90"/>
        <v>0.9791574518195123</v>
      </c>
    </row>
    <row r="87" spans="1:48" x14ac:dyDescent="0.45">
      <c r="A87" t="s">
        <v>63</v>
      </c>
      <c r="B87">
        <v>2</v>
      </c>
      <c r="C87">
        <v>2</v>
      </c>
      <c r="D87">
        <v>7</v>
      </c>
      <c r="E87">
        <f t="shared" si="78"/>
        <v>6.6333333333333337</v>
      </c>
      <c r="F87">
        <v>4078212992.6300001</v>
      </c>
      <c r="G87">
        <v>276612099.76800001</v>
      </c>
      <c r="I87">
        <v>15363049.416999999</v>
      </c>
      <c r="K87">
        <v>84343681.797000006</v>
      </c>
      <c r="O87">
        <v>397448380.82099998</v>
      </c>
      <c r="P87">
        <v>24748138.477000002</v>
      </c>
      <c r="R87">
        <v>88665846.357999995</v>
      </c>
      <c r="S87">
        <v>1847897.7320000001</v>
      </c>
      <c r="W87">
        <v>120141.51300000001</v>
      </c>
      <c r="Y87">
        <f t="shared" si="79"/>
        <v>4967362228.5129995</v>
      </c>
      <c r="AB87">
        <f t="shared" si="85"/>
        <v>0.87668764468212235</v>
      </c>
      <c r="AC87">
        <f t="shared" si="86"/>
        <v>3.0927982921831318E-3</v>
      </c>
      <c r="AD87">
        <f t="shared" si="87"/>
        <v>1.6979571433881246E-2</v>
      </c>
      <c r="AE87">
        <f t="shared" si="88"/>
        <v>0</v>
      </c>
      <c r="AF87">
        <f t="shared" si="89"/>
        <v>8.4994107511339317E-2</v>
      </c>
      <c r="AG87">
        <f t="shared" si="90"/>
        <v>0.97990344409473773</v>
      </c>
    </row>
    <row r="88" spans="1:48" x14ac:dyDescent="0.45">
      <c r="A88" t="s">
        <v>64</v>
      </c>
      <c r="B88">
        <v>2</v>
      </c>
      <c r="C88">
        <v>2</v>
      </c>
      <c r="D88">
        <v>43</v>
      </c>
      <c r="E88">
        <f t="shared" si="78"/>
        <v>7.2333333333333334</v>
      </c>
      <c r="F88">
        <v>3928832320.5229998</v>
      </c>
      <c r="G88">
        <v>246030390.495</v>
      </c>
      <c r="I88">
        <v>13209214.182</v>
      </c>
      <c r="K88">
        <v>84947837.638999999</v>
      </c>
      <c r="O88">
        <v>394295284.97799999</v>
      </c>
      <c r="P88">
        <v>24087627.127</v>
      </c>
      <c r="R88">
        <v>97457488.912</v>
      </c>
      <c r="S88">
        <v>1479285.1270000001</v>
      </c>
      <c r="W88">
        <v>161810.25599999999</v>
      </c>
      <c r="Y88">
        <f t="shared" si="79"/>
        <v>4790501259.2389984</v>
      </c>
      <c r="AB88">
        <f t="shared" si="85"/>
        <v>0.8714876554862242</v>
      </c>
      <c r="AC88">
        <f t="shared" si="86"/>
        <v>2.7573762049481997E-3</v>
      </c>
      <c r="AD88">
        <f t="shared" si="87"/>
        <v>1.7732557208949465E-2</v>
      </c>
      <c r="AE88">
        <f t="shared" si="88"/>
        <v>0</v>
      </c>
      <c r="AF88">
        <f t="shared" si="89"/>
        <v>8.7335936150335705E-2</v>
      </c>
      <c r="AG88">
        <f t="shared" si="90"/>
        <v>0.97947628927403363</v>
      </c>
    </row>
    <row r="89" spans="1:48" x14ac:dyDescent="0.45">
      <c r="A89" t="s">
        <v>65</v>
      </c>
      <c r="B89">
        <v>2</v>
      </c>
      <c r="C89">
        <v>3</v>
      </c>
      <c r="D89">
        <v>19</v>
      </c>
      <c r="E89">
        <f t="shared" si="78"/>
        <v>7.833333333333333</v>
      </c>
      <c r="F89">
        <v>3990944339.4289999</v>
      </c>
      <c r="G89">
        <v>252484138.359</v>
      </c>
      <c r="I89">
        <v>11014353.83</v>
      </c>
      <c r="K89">
        <v>80820062.697999999</v>
      </c>
      <c r="O89">
        <v>402517417.162</v>
      </c>
      <c r="P89">
        <v>23543452.169</v>
      </c>
      <c r="R89">
        <v>106484119.711</v>
      </c>
      <c r="S89">
        <v>3148066.3229999999</v>
      </c>
      <c r="U89">
        <v>413276.13900000002</v>
      </c>
      <c r="W89">
        <v>188620.217</v>
      </c>
      <c r="Y89">
        <f t="shared" si="79"/>
        <v>4871557846.0369997</v>
      </c>
      <c r="AB89">
        <f t="shared" si="85"/>
        <v>0.87106190912626003</v>
      </c>
      <c r="AC89">
        <f t="shared" si="86"/>
        <v>2.2609510505884989E-3</v>
      </c>
      <c r="AD89">
        <f t="shared" si="87"/>
        <v>1.6675022940163407E-2</v>
      </c>
      <c r="AE89">
        <f t="shared" si="88"/>
        <v>0</v>
      </c>
      <c r="AF89">
        <f t="shared" si="89"/>
        <v>8.7458854599786681E-2</v>
      </c>
      <c r="AG89">
        <f t="shared" si="90"/>
        <v>0.98102530734409799</v>
      </c>
    </row>
    <row r="90" spans="1:48" x14ac:dyDescent="0.45">
      <c r="A90" t="s">
        <v>66</v>
      </c>
      <c r="B90">
        <v>2</v>
      </c>
      <c r="C90">
        <v>4</v>
      </c>
      <c r="D90">
        <v>22</v>
      </c>
      <c r="E90">
        <f t="shared" si="78"/>
        <v>8.8833333333333329</v>
      </c>
      <c r="F90">
        <v>3878251301.493</v>
      </c>
      <c r="G90">
        <v>232365799.37900001</v>
      </c>
      <c r="I90">
        <v>7946407.784</v>
      </c>
      <c r="K90">
        <v>84920462.804000005</v>
      </c>
      <c r="O90">
        <v>415445312.17900002</v>
      </c>
      <c r="P90">
        <v>24508437.145</v>
      </c>
      <c r="R90">
        <v>117754019.69599999</v>
      </c>
      <c r="S90">
        <v>2609308.5929999999</v>
      </c>
      <c r="U90">
        <v>255774.19</v>
      </c>
      <c r="W90">
        <v>257220.14600000001</v>
      </c>
      <c r="Y90">
        <f t="shared" si="79"/>
        <v>4764314043.4090004</v>
      </c>
      <c r="AB90">
        <f t="shared" si="80"/>
        <v>0.8627930617963081</v>
      </c>
      <c r="AC90">
        <f t="shared" si="81"/>
        <v>1.6679017612185199E-3</v>
      </c>
      <c r="AD90">
        <f t="shared" si="82"/>
        <v>1.7877964428443516E-2</v>
      </c>
      <c r="AE90">
        <f t="shared" si="75"/>
        <v>0</v>
      </c>
      <c r="AF90">
        <f t="shared" si="76"/>
        <v>9.2343566212356717E-2</v>
      </c>
      <c r="AG90">
        <f t="shared" si="83"/>
        <v>0.98040014489532179</v>
      </c>
      <c r="AJ90">
        <f t="shared" si="84"/>
        <v>5.39889150161797E-5</v>
      </c>
      <c r="AN90">
        <f>AVERAGE(E90,E136)</f>
        <v>9.4083333333333332</v>
      </c>
      <c r="AO90">
        <f>AVERAGE(AG90,AG137)</f>
        <v>0.84636462998452744</v>
      </c>
      <c r="AP90">
        <f>_xlfn.STDEV.P(AG90,AG136)</f>
        <v>0.13709811960184712</v>
      </c>
      <c r="AQ90">
        <f>AVERAGE(AC90,AC136)</f>
        <v>1.162270072219131E-2</v>
      </c>
      <c r="AR90">
        <f>_xlfn.STDEV.P(AC90,AC136)</f>
        <v>9.9547989609727883E-3</v>
      </c>
      <c r="AS90">
        <f>AVERAGE(AD90,AD136)</f>
        <v>0.1554382716174266</v>
      </c>
      <c r="AT90">
        <f>_xlfn.STDEV.P(AD90,AD136)</f>
        <v>0.13756030718898307</v>
      </c>
      <c r="AU90">
        <f>AVERAGE(AE90,AE136)</f>
        <v>0</v>
      </c>
      <c r="AV90">
        <f>STDEV(AE90,AE136)</f>
        <v>0</v>
      </c>
    </row>
    <row r="91" spans="1:48" x14ac:dyDescent="0.45">
      <c r="A91" t="s">
        <v>67</v>
      </c>
      <c r="B91">
        <v>2</v>
      </c>
      <c r="C91">
        <v>5</v>
      </c>
      <c r="D91">
        <v>24</v>
      </c>
      <c r="E91">
        <f t="shared" si="78"/>
        <v>9.9166666666666661</v>
      </c>
      <c r="F91">
        <v>3804208718.1059999</v>
      </c>
      <c r="G91">
        <v>230292157.78099999</v>
      </c>
      <c r="I91">
        <v>6177561.0690000001</v>
      </c>
      <c r="K91">
        <v>86122165.665000007</v>
      </c>
      <c r="O91">
        <v>434919993.58099997</v>
      </c>
      <c r="P91">
        <v>25895953.938999999</v>
      </c>
      <c r="R91">
        <v>134540222.42399999</v>
      </c>
      <c r="S91">
        <v>1970972.702</v>
      </c>
      <c r="U91">
        <v>331444.07299999997</v>
      </c>
      <c r="W91">
        <v>171030.272</v>
      </c>
      <c r="Y91">
        <f t="shared" si="79"/>
        <v>4724630219.6119995</v>
      </c>
      <c r="AB91">
        <f t="shared" si="80"/>
        <v>0.85392944809516225</v>
      </c>
      <c r="AC91">
        <f t="shared" si="81"/>
        <v>1.3075226593092654E-3</v>
      </c>
      <c r="AD91">
        <f t="shared" si="82"/>
        <v>1.8298492309330366E-2</v>
      </c>
      <c r="AE91">
        <f t="shared" si="75"/>
        <v>0</v>
      </c>
      <c r="AF91">
        <f t="shared" si="76"/>
        <v>9.7534817774129118E-2</v>
      </c>
      <c r="AG91">
        <f t="shared" si="83"/>
        <v>0.98035778531539319</v>
      </c>
      <c r="AJ91">
        <f t="shared" si="84"/>
        <v>3.6199715967199126E-5</v>
      </c>
      <c r="AN91">
        <f>AVERAGE(E91,E137)</f>
        <v>10.441666666666666</v>
      </c>
      <c r="AO91">
        <f>AVERAGE(AG91,AG138)</f>
        <v>0.84464313533952051</v>
      </c>
      <c r="AP91">
        <f>_xlfn.STDEV.P(AG91,AG137)</f>
        <v>0.13401433512083008</v>
      </c>
      <c r="AQ91">
        <f>AVERAGE(AC91,AC137)</f>
        <v>8.9554834357390353E-3</v>
      </c>
      <c r="AR91">
        <f>_xlfn.STDEV.P(AC91,AC137)</f>
        <v>7.6479607764297691E-3</v>
      </c>
      <c r="AS91">
        <f>AVERAGE(AD91,AD137)</f>
        <v>0.15546806935232327</v>
      </c>
      <c r="AT91">
        <f>_xlfn.STDEV.P(AD91,AD137)</f>
        <v>0.13716957704299293</v>
      </c>
      <c r="AU91">
        <f>AVERAGE(AE91,AE137)</f>
        <v>0</v>
      </c>
      <c r="AV91">
        <f>STDEV(AE91,AE137)</f>
        <v>0</v>
      </c>
    </row>
    <row r="92" spans="1:48" x14ac:dyDescent="0.45">
      <c r="A92" t="s">
        <v>136</v>
      </c>
      <c r="B92">
        <v>2</v>
      </c>
      <c r="C92">
        <v>6</v>
      </c>
      <c r="D92">
        <v>27</v>
      </c>
      <c r="E92">
        <f t="shared" si="78"/>
        <v>10.966666666666667</v>
      </c>
      <c r="F92">
        <v>3691423439.7859998</v>
      </c>
      <c r="G92">
        <v>223845231.347</v>
      </c>
      <c r="I92">
        <v>4146643.3360000001</v>
      </c>
      <c r="K92">
        <v>79459211.841999993</v>
      </c>
      <c r="O92">
        <v>433179943.68300003</v>
      </c>
      <c r="P92">
        <v>25255023.129000001</v>
      </c>
      <c r="R92">
        <v>151687889.15799999</v>
      </c>
      <c r="S92">
        <v>3299061.6880000001</v>
      </c>
      <c r="U92">
        <v>1012757.031</v>
      </c>
      <c r="W92">
        <v>244231.761</v>
      </c>
      <c r="Y92">
        <f t="shared" ref="Y92:Y101" si="91">SUM(F92,G92,I92,K92,M92,O92,P92,R92,S92,U92,W92)</f>
        <v>4613553432.7609987</v>
      </c>
      <c r="AB92">
        <f t="shared" ref="AB92:AB101" si="92">(F92+G92)/Y92</f>
        <v>0.84864491724113233</v>
      </c>
      <c r="AC92">
        <f t="shared" ref="AC92:AC101" si="93">I92/Y92</f>
        <v>8.987959923807419E-4</v>
      </c>
      <c r="AD92">
        <f t="shared" ref="AD92:AD101" si="94">(K92+U92)/Y92</f>
        <v>1.7442513681876062E-2</v>
      </c>
      <c r="AE92">
        <f t="shared" ref="AE92:AE101" si="95">M92/Y92</f>
        <v>0</v>
      </c>
      <c r="AF92">
        <f t="shared" ref="AF92:AF101" si="96">SUM(O92:P92)/Y92</f>
        <v>9.9367000619660723E-2</v>
      </c>
      <c r="AG92">
        <f t="shared" ref="AG92:AG101" si="97">AB92+AF92+SUM(R92:S92)/Y92</f>
        <v>0.98160575244075754</v>
      </c>
    </row>
    <row r="93" spans="1:48" x14ac:dyDescent="0.45">
      <c r="A93" t="s">
        <v>137</v>
      </c>
      <c r="B93">
        <v>2</v>
      </c>
      <c r="C93">
        <v>7</v>
      </c>
      <c r="D93">
        <v>29</v>
      </c>
      <c r="E93">
        <f t="shared" si="78"/>
        <v>12</v>
      </c>
      <c r="F93">
        <v>3635143832.8169999</v>
      </c>
      <c r="G93">
        <v>213535489.81099999</v>
      </c>
      <c r="I93">
        <v>3371275.9730000002</v>
      </c>
      <c r="K93">
        <v>79557085.628999993</v>
      </c>
      <c r="O93">
        <v>426488701.35399997</v>
      </c>
      <c r="P93">
        <v>23089065.184</v>
      </c>
      <c r="R93">
        <v>157550365.15099999</v>
      </c>
      <c r="S93">
        <v>3548696.7089999998</v>
      </c>
      <c r="U93">
        <v>832531.24399999995</v>
      </c>
      <c r="W93">
        <v>446116.58500000002</v>
      </c>
      <c r="Y93">
        <f t="shared" si="91"/>
        <v>4543563160.4569998</v>
      </c>
      <c r="AB93">
        <f t="shared" si="92"/>
        <v>0.84706191742273318</v>
      </c>
      <c r="AC93">
        <f t="shared" si="93"/>
        <v>7.4198945936098997E-4</v>
      </c>
      <c r="AD93">
        <f t="shared" si="94"/>
        <v>1.7693077884915826E-2</v>
      </c>
      <c r="AE93">
        <f t="shared" si="95"/>
        <v>0</v>
      </c>
      <c r="AF93">
        <f t="shared" si="96"/>
        <v>9.8948281483288686E-2</v>
      </c>
      <c r="AG93">
        <f t="shared" si="97"/>
        <v>0.98146674615115725</v>
      </c>
    </row>
    <row r="94" spans="1:48" x14ac:dyDescent="0.45">
      <c r="A94" t="s">
        <v>138</v>
      </c>
      <c r="B94">
        <v>2</v>
      </c>
      <c r="C94">
        <v>8</v>
      </c>
      <c r="D94">
        <v>32</v>
      </c>
      <c r="E94">
        <f t="shared" si="78"/>
        <v>13.05</v>
      </c>
      <c r="F94">
        <v>3643633406.9860001</v>
      </c>
      <c r="G94">
        <v>215682154.96700001</v>
      </c>
      <c r="I94">
        <v>2503223.4619999998</v>
      </c>
      <c r="K94">
        <v>77909010.456</v>
      </c>
      <c r="O94">
        <v>459565515.61199999</v>
      </c>
      <c r="P94">
        <v>26511771.877999999</v>
      </c>
      <c r="R94">
        <v>181041411.34099999</v>
      </c>
      <c r="S94">
        <v>3656755.5869999998</v>
      </c>
      <c r="U94">
        <v>1228347.9369999999</v>
      </c>
      <c r="W94">
        <v>342396.64899999998</v>
      </c>
      <c r="Y94">
        <f t="shared" si="91"/>
        <v>4612073994.875</v>
      </c>
      <c r="AB94">
        <f t="shared" si="92"/>
        <v>0.83678526542321841</v>
      </c>
      <c r="AC94">
        <f t="shared" si="93"/>
        <v>5.4275440176840533E-4</v>
      </c>
      <c r="AD94">
        <f t="shared" si="94"/>
        <v>1.7158735631938805E-2</v>
      </c>
      <c r="AE94">
        <f t="shared" si="95"/>
        <v>0</v>
      </c>
      <c r="AF94">
        <f t="shared" si="96"/>
        <v>0.10539234366797579</v>
      </c>
      <c r="AG94">
        <f t="shared" si="97"/>
        <v>0.98222427077382091</v>
      </c>
    </row>
    <row r="95" spans="1:48" x14ac:dyDescent="0.45">
      <c r="A95" t="s">
        <v>139</v>
      </c>
      <c r="B95">
        <v>2</v>
      </c>
      <c r="C95">
        <v>9</v>
      </c>
      <c r="D95">
        <v>42</v>
      </c>
      <c r="E95">
        <f t="shared" si="78"/>
        <v>14.216666666666667</v>
      </c>
      <c r="F95">
        <v>3437875234.1900001</v>
      </c>
      <c r="G95">
        <v>215648713.81999999</v>
      </c>
      <c r="I95">
        <v>1658672.389</v>
      </c>
      <c r="K95">
        <v>78068590.684</v>
      </c>
      <c r="O95">
        <v>442566974.741</v>
      </c>
      <c r="P95">
        <v>28034032.397999998</v>
      </c>
      <c r="R95">
        <v>183780736.852</v>
      </c>
      <c r="S95">
        <v>4600887.6830000002</v>
      </c>
      <c r="U95">
        <v>1451941.83</v>
      </c>
      <c r="W95">
        <v>348906.53399999999</v>
      </c>
      <c r="Y95">
        <f t="shared" si="91"/>
        <v>4394034691.1210003</v>
      </c>
      <c r="AB95">
        <f t="shared" si="92"/>
        <v>0.83147362386388401</v>
      </c>
      <c r="AC95">
        <f t="shared" si="93"/>
        <v>3.7748277052788624E-4</v>
      </c>
      <c r="AD95">
        <f t="shared" si="94"/>
        <v>1.8097383863328768E-2</v>
      </c>
      <c r="AE95">
        <f t="shared" si="95"/>
        <v>0</v>
      </c>
      <c r="AF95">
        <f t="shared" si="96"/>
        <v>0.10709997535748651</v>
      </c>
      <c r="AG95">
        <f t="shared" si="97"/>
        <v>0.98144572877366143</v>
      </c>
    </row>
    <row r="96" spans="1:48" x14ac:dyDescent="0.45">
      <c r="A96" t="s">
        <v>140</v>
      </c>
      <c r="B96">
        <v>2</v>
      </c>
      <c r="C96">
        <v>19</v>
      </c>
      <c r="D96">
        <v>1</v>
      </c>
      <c r="E96">
        <f t="shared" si="78"/>
        <v>23.533333333333335</v>
      </c>
      <c r="F96">
        <v>3429767349.2490001</v>
      </c>
      <c r="G96">
        <v>212921534.55899999</v>
      </c>
      <c r="I96">
        <v>175685.774</v>
      </c>
      <c r="K96">
        <v>66888390.553000003</v>
      </c>
      <c r="O96">
        <v>563412768.32500005</v>
      </c>
      <c r="P96">
        <v>33060589.204</v>
      </c>
      <c r="R96">
        <v>321623372.63599998</v>
      </c>
      <c r="S96">
        <v>8534583.1539999992</v>
      </c>
      <c r="U96">
        <v>4483873.915</v>
      </c>
      <c r="W96">
        <v>351460.24300000002</v>
      </c>
      <c r="Y96">
        <f t="shared" si="91"/>
        <v>4641219607.6120005</v>
      </c>
      <c r="AB96">
        <f t="shared" si="92"/>
        <v>0.78485596282358117</v>
      </c>
      <c r="AC96">
        <f t="shared" si="93"/>
        <v>3.7853363739104305E-5</v>
      </c>
      <c r="AD96">
        <f t="shared" si="94"/>
        <v>1.5377911519408248E-2</v>
      </c>
      <c r="AE96">
        <f t="shared" si="95"/>
        <v>0</v>
      </c>
      <c r="AF96">
        <f t="shared" si="96"/>
        <v>0.12851651245951221</v>
      </c>
      <c r="AG96">
        <f t="shared" si="97"/>
        <v>0.98450850927909572</v>
      </c>
    </row>
    <row r="97" spans="1:33" x14ac:dyDescent="0.45">
      <c r="A97" t="s">
        <v>141</v>
      </c>
      <c r="B97">
        <v>2</v>
      </c>
      <c r="C97">
        <v>22</v>
      </c>
      <c r="D97">
        <v>52</v>
      </c>
      <c r="E97">
        <f t="shared" si="78"/>
        <v>27.383333333333333</v>
      </c>
      <c r="F97">
        <v>3354223940.6810002</v>
      </c>
      <c r="G97">
        <v>199689138</v>
      </c>
      <c r="I97">
        <v>0</v>
      </c>
      <c r="K97">
        <v>56442695.151000001</v>
      </c>
      <c r="O97">
        <v>596961530.42700005</v>
      </c>
      <c r="P97">
        <v>35744553.93</v>
      </c>
      <c r="R97">
        <v>361991006.15399998</v>
      </c>
      <c r="S97">
        <v>9902594.4079999998</v>
      </c>
      <c r="U97">
        <v>5856771.1799999997</v>
      </c>
      <c r="W97">
        <v>483616.48100000003</v>
      </c>
      <c r="Y97">
        <f t="shared" si="91"/>
        <v>4621295846.4120007</v>
      </c>
      <c r="AB97">
        <f t="shared" si="92"/>
        <v>0.76902955292080633</v>
      </c>
      <c r="AC97">
        <f t="shared" si="93"/>
        <v>0</v>
      </c>
      <c r="AD97">
        <f t="shared" si="94"/>
        <v>1.3480951750658778E-2</v>
      </c>
      <c r="AE97">
        <f t="shared" si="95"/>
        <v>0</v>
      </c>
      <c r="AF97">
        <f t="shared" si="96"/>
        <v>0.13691096726651605</v>
      </c>
      <c r="AG97">
        <f t="shared" si="97"/>
        <v>0.98641439871010517</v>
      </c>
    </row>
    <row r="98" spans="1:33" x14ac:dyDescent="0.45">
      <c r="A98" t="s">
        <v>142</v>
      </c>
      <c r="B98">
        <v>3</v>
      </c>
      <c r="C98">
        <v>8</v>
      </c>
      <c r="D98">
        <v>49</v>
      </c>
      <c r="E98">
        <f t="shared" si="78"/>
        <v>37.333333333333336</v>
      </c>
      <c r="F98">
        <v>3050578745.3800001</v>
      </c>
      <c r="G98">
        <v>178045344.007</v>
      </c>
      <c r="K98">
        <v>45245099.971000001</v>
      </c>
      <c r="O98">
        <v>649457802.28999996</v>
      </c>
      <c r="P98">
        <v>33922573.425999999</v>
      </c>
      <c r="R98">
        <v>473231236.17199999</v>
      </c>
      <c r="S98">
        <v>14396273.172</v>
      </c>
      <c r="U98">
        <v>9659271.4790000003</v>
      </c>
      <c r="W98">
        <v>339508.36800000002</v>
      </c>
      <c r="Y98">
        <f t="shared" si="91"/>
        <v>4454875854.2650003</v>
      </c>
      <c r="AB98">
        <f t="shared" si="92"/>
        <v>0.72473940801200698</v>
      </c>
      <c r="AC98">
        <f t="shared" si="93"/>
        <v>0</v>
      </c>
      <c r="AD98">
        <f t="shared" si="94"/>
        <v>1.2324557012612543E-2</v>
      </c>
      <c r="AE98">
        <f t="shared" si="95"/>
        <v>0</v>
      </c>
      <c r="AF98">
        <f t="shared" si="96"/>
        <v>0.15340054315133084</v>
      </c>
      <c r="AG98">
        <f t="shared" si="97"/>
        <v>0.9875992324757803</v>
      </c>
    </row>
    <row r="99" spans="1:33" x14ac:dyDescent="0.45">
      <c r="A99" t="s">
        <v>143</v>
      </c>
      <c r="B99">
        <v>3</v>
      </c>
      <c r="C99">
        <v>17</v>
      </c>
      <c r="D99">
        <v>28</v>
      </c>
      <c r="E99">
        <f t="shared" si="78"/>
        <v>45.983333333333334</v>
      </c>
      <c r="F99">
        <v>2899012257.0819998</v>
      </c>
      <c r="G99">
        <v>195603418.66</v>
      </c>
      <c r="K99">
        <v>37061305.148999996</v>
      </c>
      <c r="O99">
        <v>642961542.04299998</v>
      </c>
      <c r="P99">
        <v>41308045.262000002</v>
      </c>
      <c r="R99">
        <v>556478289.85399997</v>
      </c>
      <c r="S99">
        <v>22072098.199999999</v>
      </c>
      <c r="U99">
        <v>12146366.169</v>
      </c>
      <c r="W99">
        <v>371330.07799999998</v>
      </c>
      <c r="Y99">
        <f t="shared" si="91"/>
        <v>4407014652.4969997</v>
      </c>
      <c r="AB99">
        <f t="shared" si="92"/>
        <v>0.70220226610515146</v>
      </c>
      <c r="AC99">
        <f t="shared" si="93"/>
        <v>0</v>
      </c>
      <c r="AD99">
        <f t="shared" si="94"/>
        <v>1.1165760769621924E-2</v>
      </c>
      <c r="AE99">
        <f t="shared" si="95"/>
        <v>0</v>
      </c>
      <c r="AF99">
        <f t="shared" si="96"/>
        <v>0.15526828051667474</v>
      </c>
      <c r="AG99">
        <f t="shared" si="97"/>
        <v>0.98874998035962769</v>
      </c>
    </row>
    <row r="100" spans="1:33" x14ac:dyDescent="0.45">
      <c r="A100" t="s">
        <v>144</v>
      </c>
      <c r="B100">
        <v>4</v>
      </c>
      <c r="C100">
        <v>9</v>
      </c>
      <c r="D100">
        <v>4</v>
      </c>
      <c r="E100">
        <f t="shared" si="78"/>
        <v>61.583333333333336</v>
      </c>
      <c r="F100">
        <v>2631490755.2870002</v>
      </c>
      <c r="G100">
        <v>184241082.10299999</v>
      </c>
      <c r="K100">
        <v>23344665.248</v>
      </c>
      <c r="O100">
        <v>644859193.796</v>
      </c>
      <c r="P100">
        <v>42687284.842</v>
      </c>
      <c r="R100">
        <v>663031488.43299997</v>
      </c>
      <c r="S100">
        <v>32846190.624000002</v>
      </c>
      <c r="U100">
        <v>14904761.766000001</v>
      </c>
      <c r="W100">
        <v>317677.25900000002</v>
      </c>
      <c r="Y100">
        <f t="shared" si="91"/>
        <v>4237723099.3580003</v>
      </c>
      <c r="AB100">
        <f t="shared" si="92"/>
        <v>0.66444450743291217</v>
      </c>
      <c r="AC100">
        <f t="shared" si="93"/>
        <v>0</v>
      </c>
      <c r="AD100">
        <f t="shared" si="94"/>
        <v>9.0259382496687066E-3</v>
      </c>
      <c r="AE100">
        <f t="shared" si="95"/>
        <v>0</v>
      </c>
      <c r="AF100">
        <f t="shared" si="96"/>
        <v>0.16224431434469155</v>
      </c>
      <c r="AG100">
        <f t="shared" si="97"/>
        <v>0.99089909761238459</v>
      </c>
    </row>
    <row r="101" spans="1:33" x14ac:dyDescent="0.45">
      <c r="A101" t="s">
        <v>145</v>
      </c>
      <c r="B101">
        <v>4</v>
      </c>
      <c r="C101">
        <v>17</v>
      </c>
      <c r="D101">
        <v>53</v>
      </c>
      <c r="E101">
        <f t="shared" si="78"/>
        <v>70.400000000000006</v>
      </c>
      <c r="F101">
        <v>2554023290.7470002</v>
      </c>
      <c r="G101">
        <v>153261694.75400001</v>
      </c>
      <c r="K101">
        <v>18116525.206</v>
      </c>
      <c r="O101">
        <v>688630461.86699998</v>
      </c>
      <c r="P101">
        <v>40419621.332000002</v>
      </c>
      <c r="R101">
        <v>738849715.94400001</v>
      </c>
      <c r="S101">
        <v>37838206.884999998</v>
      </c>
      <c r="U101">
        <v>15281612.184</v>
      </c>
      <c r="W101">
        <v>365930.02299999999</v>
      </c>
      <c r="Y101">
        <f t="shared" si="91"/>
        <v>4246787058.9420004</v>
      </c>
      <c r="AB101">
        <f t="shared" si="92"/>
        <v>0.6374901656066233</v>
      </c>
      <c r="AC101">
        <f t="shared" si="93"/>
        <v>0</v>
      </c>
      <c r="AD101">
        <f t="shared" si="94"/>
        <v>7.8643305930955858E-3</v>
      </c>
      <c r="AE101">
        <f t="shared" si="95"/>
        <v>0</v>
      </c>
      <c r="AF101">
        <f t="shared" si="96"/>
        <v>0.17167097692452415</v>
      </c>
      <c r="AG101">
        <f t="shared" si="97"/>
        <v>0.99204950308447737</v>
      </c>
    </row>
    <row r="119" spans="1:33" x14ac:dyDescent="0.45">
      <c r="B119" t="s">
        <v>14</v>
      </c>
      <c r="C119" t="s">
        <v>15</v>
      </c>
      <c r="D119" t="s">
        <v>16</v>
      </c>
      <c r="E119" t="s">
        <v>10</v>
      </c>
      <c r="F119" s="1">
        <v>395.87</v>
      </c>
      <c r="G119" s="1">
        <v>593.29999999999995</v>
      </c>
      <c r="H119" s="1"/>
      <c r="I119" s="1">
        <v>693.3</v>
      </c>
      <c r="J119" s="1"/>
      <c r="K119" s="1">
        <v>669.3</v>
      </c>
      <c r="L119" s="1"/>
      <c r="M119" s="1">
        <v>793.3</v>
      </c>
      <c r="O119" s="1">
        <v>399.87869999999998</v>
      </c>
      <c r="P119" s="1">
        <v>599.30340000000001</v>
      </c>
      <c r="R119" s="1">
        <v>409.54649999999998</v>
      </c>
      <c r="S119" s="1">
        <v>614.30830000000003</v>
      </c>
      <c r="U119" s="1">
        <v>628.28800000000001</v>
      </c>
      <c r="W119" s="1">
        <v>684.31370000000004</v>
      </c>
      <c r="Y119" t="s">
        <v>0</v>
      </c>
      <c r="AB119" t="s">
        <v>1</v>
      </c>
      <c r="AC119" t="s">
        <v>2</v>
      </c>
      <c r="AD119" t="s">
        <v>3</v>
      </c>
      <c r="AE119" t="s">
        <v>4</v>
      </c>
      <c r="AF119" t="s">
        <v>126</v>
      </c>
      <c r="AG119" t="s">
        <v>8</v>
      </c>
    </row>
    <row r="120" spans="1:33" x14ac:dyDescent="0.45">
      <c r="B120">
        <v>1</v>
      </c>
      <c r="C120">
        <v>19</v>
      </c>
      <c r="D120">
        <v>34</v>
      </c>
      <c r="E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</row>
    <row r="121" spans="1:33" x14ac:dyDescent="0.45">
      <c r="A121" t="s">
        <v>100</v>
      </c>
      <c r="B121">
        <v>1</v>
      </c>
      <c r="C121">
        <v>19</v>
      </c>
      <c r="D121">
        <v>37</v>
      </c>
      <c r="E121">
        <f>(B121-$B$120)*24+(C121-$C$120)+(D121-$D$120)/60</f>
        <v>0.05</v>
      </c>
      <c r="F121">
        <v>3923865392.5799999</v>
      </c>
      <c r="G121">
        <v>259668912.06200001</v>
      </c>
      <c r="I121">
        <v>89075392.350999996</v>
      </c>
      <c r="K121">
        <v>6754175.7450000001</v>
      </c>
      <c r="M121">
        <v>1106979.277</v>
      </c>
      <c r="O121">
        <v>79502117.272</v>
      </c>
      <c r="P121">
        <v>3311803.9580000001</v>
      </c>
      <c r="R121">
        <v>8665009.7249999996</v>
      </c>
      <c r="Y121">
        <f>SUM(F121:W121)</f>
        <v>4371949782.9700003</v>
      </c>
      <c r="AB121">
        <f>SUM(F121:G121)/Y121</f>
        <v>0.95690355843931851</v>
      </c>
      <c r="AC121">
        <f>I121/Y121</f>
        <v>2.0374294484802692E-2</v>
      </c>
      <c r="AD121">
        <f>K121/Y121</f>
        <v>1.5448886836050711E-3</v>
      </c>
      <c r="AE121">
        <f>M121/Y121</f>
        <v>2.5320036412860967E-4</v>
      </c>
      <c r="AF121">
        <f>(SUM(O121:S121))/Y121</f>
        <v>2.0924058028144947E-2</v>
      </c>
      <c r="AG121">
        <f>AB121+AF121+SUM(R121:S121)/Y121</f>
        <v>0.97980957192329976</v>
      </c>
    </row>
    <row r="122" spans="1:33" x14ac:dyDescent="0.45">
      <c r="A122" t="s">
        <v>101</v>
      </c>
      <c r="B122">
        <v>1</v>
      </c>
      <c r="C122">
        <v>20</v>
      </c>
      <c r="D122">
        <v>8</v>
      </c>
      <c r="E122">
        <f t="shared" ref="E122:E146" si="98">(B122-$B$120)*24+(C122-$C$120)+(D122-$D$120)/60</f>
        <v>0.56666666666666665</v>
      </c>
      <c r="F122">
        <v>2843629464.8379998</v>
      </c>
      <c r="G122">
        <v>175348196.07800001</v>
      </c>
      <c r="I122">
        <v>791752867.56599998</v>
      </c>
      <c r="K122">
        <v>162226608.78299999</v>
      </c>
      <c r="M122">
        <v>6174043.2429999998</v>
      </c>
      <c r="O122">
        <v>148874864.729</v>
      </c>
      <c r="P122">
        <v>7185072.6380000003</v>
      </c>
      <c r="R122">
        <v>13204221.380999999</v>
      </c>
      <c r="Y122">
        <f t="shared" ref="Y122:Y127" si="99">SUM(F122:W122)</f>
        <v>4148395339.256</v>
      </c>
      <c r="AB122">
        <f t="shared" ref="AB122:AB127" si="100">SUM(F122:G122)/Y122</f>
        <v>0.72774589064537976</v>
      </c>
      <c r="AC122">
        <f t="shared" ref="AC122:AC127" si="101">I122/Y122</f>
        <v>0.19085762151781754</v>
      </c>
      <c r="AD122">
        <f t="shared" ref="AD122:AD127" si="102">K122/Y122</f>
        <v>3.9105869984921632E-2</v>
      </c>
      <c r="AE122">
        <f t="shared" ref="AE122:AE127" si="103">M122/Y122</f>
        <v>1.4882967359873885E-3</v>
      </c>
      <c r="AF122">
        <f t="shared" ref="AF122:AF146" si="104">(SUM(O122:S122))/Y122</f>
        <v>4.0802321115893679E-2</v>
      </c>
      <c r="AG122">
        <f t="shared" ref="AG122:AG146" si="105">AB122+AF122+SUM(R122:S122)/Y122</f>
        <v>0.77173118259726137</v>
      </c>
    </row>
    <row r="123" spans="1:33" x14ac:dyDescent="0.45">
      <c r="A123" t="s">
        <v>102</v>
      </c>
      <c r="B123">
        <v>1</v>
      </c>
      <c r="C123">
        <v>20</v>
      </c>
      <c r="D123">
        <v>45</v>
      </c>
      <c r="E123">
        <f t="shared" si="98"/>
        <v>1.1833333333333333</v>
      </c>
      <c r="F123">
        <v>2466575014.105</v>
      </c>
      <c r="G123">
        <v>150585436.58199999</v>
      </c>
      <c r="I123">
        <v>953325954.949</v>
      </c>
      <c r="K123">
        <v>384455277.79900002</v>
      </c>
      <c r="M123">
        <v>2211019.3530000001</v>
      </c>
      <c r="O123">
        <v>164969255.23699999</v>
      </c>
      <c r="P123">
        <v>9371223.2640000004</v>
      </c>
      <c r="R123">
        <v>16547575.085000001</v>
      </c>
      <c r="S123">
        <v>501406.03100000002</v>
      </c>
      <c r="W123">
        <v>279667.315</v>
      </c>
      <c r="Y123">
        <f t="shared" si="99"/>
        <v>4148821829.7199998</v>
      </c>
      <c r="AB123">
        <f t="shared" si="100"/>
        <v>0.63082016006062847</v>
      </c>
      <c r="AC123">
        <f t="shared" si="101"/>
        <v>0.22978233196708259</v>
      </c>
      <c r="AD123">
        <f t="shared" si="102"/>
        <v>9.2666133562295333E-2</v>
      </c>
      <c r="AE123">
        <f t="shared" si="103"/>
        <v>5.3292704380829476E-4</v>
      </c>
      <c r="AF123">
        <f t="shared" si="104"/>
        <v>4.6131038514593596E-2</v>
      </c>
      <c r="AG123">
        <f t="shared" si="105"/>
        <v>0.6810605534272115</v>
      </c>
    </row>
    <row r="124" spans="1:33" x14ac:dyDescent="0.45">
      <c r="A124" t="s">
        <v>103</v>
      </c>
      <c r="B124">
        <v>1</v>
      </c>
      <c r="C124">
        <v>21</v>
      </c>
      <c r="D124">
        <v>21</v>
      </c>
      <c r="E124">
        <f t="shared" si="98"/>
        <v>1.7833333333333332</v>
      </c>
      <c r="F124">
        <v>2292890303.3790002</v>
      </c>
      <c r="G124">
        <v>134738170.002</v>
      </c>
      <c r="I124">
        <v>859661658.45700002</v>
      </c>
      <c r="K124">
        <v>551996472.12</v>
      </c>
      <c r="M124">
        <v>813317.41200000001</v>
      </c>
      <c r="O124">
        <v>169673039.002</v>
      </c>
      <c r="P124">
        <v>10094758.061000001</v>
      </c>
      <c r="R124">
        <v>20168964.495999999</v>
      </c>
      <c r="S124">
        <v>382110.95400000003</v>
      </c>
      <c r="W124">
        <v>872982.61</v>
      </c>
      <c r="Y124">
        <f t="shared" si="99"/>
        <v>4041291776.493</v>
      </c>
      <c r="AB124">
        <f t="shared" si="100"/>
        <v>0.60070606322013109</v>
      </c>
      <c r="AC124">
        <f t="shared" si="101"/>
        <v>0.21271952286578213</v>
      </c>
      <c r="AD124">
        <f t="shared" si="102"/>
        <v>0.13658911621546366</v>
      </c>
      <c r="AE124">
        <f t="shared" si="103"/>
        <v>2.0125184148564253E-4</v>
      </c>
      <c r="AF124">
        <f t="shared" si="104"/>
        <v>4.956803012299079E-2</v>
      </c>
      <c r="AG124">
        <f t="shared" si="105"/>
        <v>0.65535936720766674</v>
      </c>
    </row>
    <row r="125" spans="1:33" x14ac:dyDescent="0.45">
      <c r="A125" t="s">
        <v>104</v>
      </c>
      <c r="B125">
        <v>1</v>
      </c>
      <c r="C125">
        <v>21</v>
      </c>
      <c r="D125">
        <v>57</v>
      </c>
      <c r="E125">
        <f t="shared" si="98"/>
        <v>2.3833333333333333</v>
      </c>
      <c r="F125">
        <v>2367470609.8379998</v>
      </c>
      <c r="G125">
        <v>144876530.30199999</v>
      </c>
      <c r="I125">
        <v>748721632.18400002</v>
      </c>
      <c r="K125">
        <v>708496726.89400005</v>
      </c>
      <c r="O125">
        <v>185626537.15000001</v>
      </c>
      <c r="P125">
        <v>11009789.437000001</v>
      </c>
      <c r="R125">
        <v>24948964.394000001</v>
      </c>
      <c r="S125">
        <v>806563.23899999994</v>
      </c>
      <c r="W125">
        <v>946081.647</v>
      </c>
      <c r="Y125">
        <f t="shared" si="99"/>
        <v>4192903435.0849996</v>
      </c>
      <c r="AB125">
        <f t="shared" si="100"/>
        <v>0.59919031741046258</v>
      </c>
      <c r="AC125">
        <f t="shared" si="101"/>
        <v>0.17856877549788402</v>
      </c>
      <c r="AD125">
        <f t="shared" si="102"/>
        <v>0.16897520724314921</v>
      </c>
      <c r="AE125">
        <f t="shared" si="103"/>
        <v>0</v>
      </c>
      <c r="AF125">
        <f t="shared" si="104"/>
        <v>5.3040061061051268E-2</v>
      </c>
      <c r="AG125">
        <f>AB125+AF125+SUM(R125:S125)/Y125</f>
        <v>0.65837302593090563</v>
      </c>
    </row>
    <row r="126" spans="1:33" x14ac:dyDescent="0.45">
      <c r="A126" t="s">
        <v>105</v>
      </c>
      <c r="B126">
        <v>1</v>
      </c>
      <c r="C126">
        <v>22</v>
      </c>
      <c r="D126">
        <v>34</v>
      </c>
      <c r="E126">
        <f t="shared" si="98"/>
        <v>3</v>
      </c>
      <c r="F126">
        <v>2281458774.7389998</v>
      </c>
      <c r="G126">
        <v>135967396.68799999</v>
      </c>
      <c r="I126">
        <v>611647183.31799996</v>
      </c>
      <c r="K126">
        <v>811774093.96899998</v>
      </c>
      <c r="O126">
        <v>199653132.458</v>
      </c>
      <c r="P126">
        <v>11347417.964</v>
      </c>
      <c r="R126">
        <v>33144748.157000002</v>
      </c>
      <c r="S126">
        <v>216449.86499999999</v>
      </c>
      <c r="W126">
        <v>1349144.8629999999</v>
      </c>
      <c r="Y126">
        <f t="shared" si="99"/>
        <v>4086558342.0209999</v>
      </c>
      <c r="AB126">
        <f t="shared" si="100"/>
        <v>0.59155552646079845</v>
      </c>
      <c r="AC126">
        <f t="shared" si="101"/>
        <v>0.14967293554299557</v>
      </c>
      <c r="AD126">
        <f t="shared" si="102"/>
        <v>0.19864492955398225</v>
      </c>
      <c r="AE126">
        <f t="shared" si="103"/>
        <v>0</v>
      </c>
      <c r="AF126">
        <f t="shared" si="104"/>
        <v>5.9796466364200086E-2</v>
      </c>
      <c r="AG126">
        <f>AB126+AF126+SUM(R126:S126)/Y126</f>
        <v>0.65951563450825945</v>
      </c>
    </row>
    <row r="127" spans="1:33" x14ac:dyDescent="0.45">
      <c r="A127" t="s">
        <v>106</v>
      </c>
      <c r="B127">
        <v>1</v>
      </c>
      <c r="C127">
        <v>23</v>
      </c>
      <c r="D127">
        <v>10</v>
      </c>
      <c r="E127">
        <f>(B127-$B$120)*24+(C127-$C$120)+(D127-$D$120)/60</f>
        <v>3.6</v>
      </c>
      <c r="F127">
        <v>2313336639.2719998</v>
      </c>
      <c r="G127">
        <v>139650165.097</v>
      </c>
      <c r="I127">
        <v>494570030.25599998</v>
      </c>
      <c r="K127">
        <v>911274647.52400005</v>
      </c>
      <c r="O127">
        <v>223704486.15000001</v>
      </c>
      <c r="P127">
        <v>12914698.346999999</v>
      </c>
      <c r="R127">
        <v>37270625.559</v>
      </c>
      <c r="S127">
        <v>395987.76500000001</v>
      </c>
      <c r="W127">
        <v>1777864.8</v>
      </c>
      <c r="Y127">
        <f t="shared" si="99"/>
        <v>4134895144.7700005</v>
      </c>
      <c r="AB127">
        <f t="shared" si="100"/>
        <v>0.59324038905113397</v>
      </c>
      <c r="AC127">
        <f t="shared" si="101"/>
        <v>0.11960884446648042</v>
      </c>
      <c r="AD127">
        <f t="shared" si="102"/>
        <v>0.22038639811135738</v>
      </c>
      <c r="AE127">
        <f t="shared" si="103"/>
        <v>0</v>
      </c>
      <c r="AF127">
        <f t="shared" si="104"/>
        <v>6.6334402256349567E-2</v>
      </c>
      <c r="AG127">
        <f t="shared" si="105"/>
        <v>0.66868423955350309</v>
      </c>
    </row>
    <row r="128" spans="1:33" x14ac:dyDescent="0.45">
      <c r="A128" t="s">
        <v>107</v>
      </c>
      <c r="B128">
        <v>1</v>
      </c>
      <c r="C128">
        <v>23</v>
      </c>
      <c r="D128">
        <v>46</v>
      </c>
      <c r="E128">
        <f t="shared" si="98"/>
        <v>4.2</v>
      </c>
      <c r="F128">
        <v>2308335868.0799999</v>
      </c>
      <c r="G128">
        <v>131292093.817</v>
      </c>
      <c r="I128">
        <v>428380053.315</v>
      </c>
      <c r="K128">
        <v>973020590.36300004</v>
      </c>
      <c r="O128">
        <v>237365186.91299999</v>
      </c>
      <c r="P128">
        <v>13685711.673</v>
      </c>
      <c r="R128">
        <v>42922052.443999998</v>
      </c>
      <c r="S128">
        <v>1345348.28</v>
      </c>
      <c r="U128">
        <v>875928.90099999995</v>
      </c>
      <c r="W128">
        <v>2157687.0380000002</v>
      </c>
      <c r="Y128">
        <f t="shared" ref="Y128:Y146" si="106">SUM(F128:W128)</f>
        <v>4139380520.8239999</v>
      </c>
      <c r="AB128">
        <f t="shared" ref="AB128:AB142" si="107">SUM(F128:G128)/Y128</f>
        <v>0.58937030544158786</v>
      </c>
      <c r="AC128">
        <f t="shared" ref="AC128:AC142" si="108">I128/Y128</f>
        <v>0.10348892815240024</v>
      </c>
      <c r="AD128">
        <f t="shared" ref="AD128:AD142" si="109">K128/Y128</f>
        <v>0.23506430140162787</v>
      </c>
      <c r="AE128">
        <f t="shared" ref="AE128:AE142" si="110">M128/Y128</f>
        <v>0</v>
      </c>
      <c r="AF128">
        <f t="shared" si="104"/>
        <v>7.1343597870343375E-2</v>
      </c>
      <c r="AG128">
        <f t="shared" si="105"/>
        <v>0.67140811238531883</v>
      </c>
    </row>
    <row r="129" spans="1:33" x14ac:dyDescent="0.45">
      <c r="A129" t="s">
        <v>108</v>
      </c>
      <c r="B129">
        <v>2</v>
      </c>
      <c r="C129">
        <v>0</v>
      </c>
      <c r="D129">
        <v>23</v>
      </c>
      <c r="E129">
        <f t="shared" si="98"/>
        <v>4.8166666666666664</v>
      </c>
      <c r="F129">
        <v>2311109048.6760001</v>
      </c>
      <c r="G129">
        <v>129712451.045</v>
      </c>
      <c r="I129">
        <v>355938863.56099999</v>
      </c>
      <c r="K129">
        <v>1071687672.059</v>
      </c>
      <c r="O129">
        <v>231404733.949</v>
      </c>
      <c r="P129">
        <v>12796120.846000001</v>
      </c>
      <c r="R129">
        <v>46606645.399999999</v>
      </c>
      <c r="S129">
        <v>556003.24199999997</v>
      </c>
      <c r="U129">
        <v>1682436.6</v>
      </c>
      <c r="W129">
        <v>2227378.273</v>
      </c>
      <c r="Y129">
        <f t="shared" si="106"/>
        <v>4163721353.651</v>
      </c>
      <c r="AB129">
        <f t="shared" si="107"/>
        <v>0.58621153828671602</v>
      </c>
      <c r="AC129">
        <f t="shared" si="108"/>
        <v>8.5485755008291198E-2</v>
      </c>
      <c r="AD129">
        <f t="shared" si="109"/>
        <v>0.25738698174873786</v>
      </c>
      <c r="AE129">
        <f t="shared" si="110"/>
        <v>0</v>
      </c>
      <c r="AF129">
        <f t="shared" si="104"/>
        <v>6.9976705617323554E-2</v>
      </c>
      <c r="AG129">
        <f t="shared" si="105"/>
        <v>0.66751528638267354</v>
      </c>
    </row>
    <row r="130" spans="1:33" x14ac:dyDescent="0.45">
      <c r="A130" t="s">
        <v>109</v>
      </c>
      <c r="B130">
        <v>2</v>
      </c>
      <c r="C130">
        <v>0</v>
      </c>
      <c r="D130">
        <v>59</v>
      </c>
      <c r="E130">
        <f t="shared" si="98"/>
        <v>5.416666666666667</v>
      </c>
      <c r="F130">
        <v>2316158446.5489998</v>
      </c>
      <c r="G130">
        <v>137221234.43099999</v>
      </c>
      <c r="I130">
        <v>312277676.57700002</v>
      </c>
      <c r="K130">
        <v>1127615805.546</v>
      </c>
      <c r="O130">
        <v>250807345.37099999</v>
      </c>
      <c r="P130">
        <v>14288243.971999999</v>
      </c>
      <c r="R130">
        <v>52578917.622000001</v>
      </c>
      <c r="S130">
        <v>660284.31499999994</v>
      </c>
      <c r="U130">
        <v>1866988.254</v>
      </c>
      <c r="W130">
        <v>2997408.943</v>
      </c>
      <c r="Y130">
        <f t="shared" si="106"/>
        <v>4216472351.5799999</v>
      </c>
      <c r="AB130">
        <f t="shared" si="107"/>
        <v>0.58185598680865702</v>
      </c>
      <c r="AC130">
        <f t="shared" si="108"/>
        <v>7.4061359956500858E-2</v>
      </c>
      <c r="AD130">
        <f t="shared" si="109"/>
        <v>0.26743109204154009</v>
      </c>
      <c r="AE130">
        <f t="shared" si="110"/>
        <v>0</v>
      </c>
      <c r="AF130">
        <f t="shared" si="104"/>
        <v>7.5497896045900389E-2</v>
      </c>
      <c r="AG130">
        <f t="shared" si="105"/>
        <v>0.66998036240850256</v>
      </c>
    </row>
    <row r="131" spans="1:33" x14ac:dyDescent="0.45">
      <c r="A131" t="s">
        <v>110</v>
      </c>
      <c r="B131">
        <v>2</v>
      </c>
      <c r="C131">
        <v>1</v>
      </c>
      <c r="D131">
        <v>35</v>
      </c>
      <c r="E131">
        <f t="shared" si="98"/>
        <v>6.0166666666666666</v>
      </c>
      <c r="F131">
        <v>2280850450.454</v>
      </c>
      <c r="G131">
        <v>131934204.95</v>
      </c>
      <c r="I131">
        <v>260752378.498</v>
      </c>
      <c r="K131">
        <v>1171302223.3529999</v>
      </c>
      <c r="O131">
        <v>257833136.065</v>
      </c>
      <c r="P131">
        <v>15088992.291999999</v>
      </c>
      <c r="R131">
        <v>57451054.174000002</v>
      </c>
      <c r="S131">
        <v>1457819.057</v>
      </c>
      <c r="U131">
        <v>2262664.5109999999</v>
      </c>
      <c r="W131">
        <v>2604109.6889999998</v>
      </c>
      <c r="Y131">
        <f t="shared" si="106"/>
        <v>4181537033.0430002</v>
      </c>
      <c r="AB131">
        <f t="shared" si="107"/>
        <v>0.57700903671015946</v>
      </c>
      <c r="AC131">
        <f t="shared" si="108"/>
        <v>6.2358022047276841E-2</v>
      </c>
      <c r="AD131">
        <f t="shared" si="109"/>
        <v>0.2801128422628405</v>
      </c>
      <c r="AE131">
        <f t="shared" si="110"/>
        <v>0</v>
      </c>
      <c r="AF131">
        <f t="shared" si="104"/>
        <v>7.9356226900738222E-2</v>
      </c>
      <c r="AG131">
        <f t="shared" si="105"/>
        <v>0.67045311522275597</v>
      </c>
    </row>
    <row r="132" spans="1:33" x14ac:dyDescent="0.45">
      <c r="A132" t="s">
        <v>111</v>
      </c>
      <c r="B132">
        <v>2</v>
      </c>
      <c r="C132">
        <v>2</v>
      </c>
      <c r="D132">
        <v>12</v>
      </c>
      <c r="E132">
        <f t="shared" si="98"/>
        <v>6.6333333333333337</v>
      </c>
      <c r="F132">
        <v>2250597785.6760001</v>
      </c>
      <c r="G132">
        <v>124843337.472</v>
      </c>
      <c r="I132">
        <v>219599688.68700001</v>
      </c>
      <c r="K132">
        <v>1211145078.4749999</v>
      </c>
      <c r="O132">
        <v>267452012.71399999</v>
      </c>
      <c r="P132">
        <v>15355946.619000001</v>
      </c>
      <c r="R132">
        <v>66107765.327</v>
      </c>
      <c r="S132">
        <v>1417428.564</v>
      </c>
      <c r="U132">
        <v>3457746.8960000002</v>
      </c>
      <c r="W132">
        <v>3623384.2209999999</v>
      </c>
      <c r="Y132">
        <f t="shared" si="106"/>
        <v>4163600174.6510005</v>
      </c>
      <c r="AB132">
        <f t="shared" si="107"/>
        <v>0.5705257525951356</v>
      </c>
      <c r="AC132">
        <f t="shared" si="108"/>
        <v>5.2742741732017338E-2</v>
      </c>
      <c r="AD132">
        <f t="shared" si="109"/>
        <v>0.29088890087207281</v>
      </c>
      <c r="AE132">
        <f t="shared" si="110"/>
        <v>0</v>
      </c>
      <c r="AF132">
        <f t="shared" si="104"/>
        <v>8.4141881671759108E-2</v>
      </c>
      <c r="AG132">
        <f t="shared" si="105"/>
        <v>0.67088561655590251</v>
      </c>
    </row>
    <row r="133" spans="1:33" x14ac:dyDescent="0.45">
      <c r="A133" t="s">
        <v>112</v>
      </c>
      <c r="B133">
        <v>2</v>
      </c>
      <c r="C133">
        <v>2</v>
      </c>
      <c r="D133">
        <v>48</v>
      </c>
      <c r="E133">
        <f t="shared" si="98"/>
        <v>7.2333333333333334</v>
      </c>
      <c r="F133">
        <v>2258730162.6950002</v>
      </c>
      <c r="G133">
        <v>135182466.472</v>
      </c>
      <c r="I133">
        <v>175399228.62</v>
      </c>
      <c r="K133">
        <v>1180825315.096</v>
      </c>
      <c r="O133">
        <v>279492335.60699999</v>
      </c>
      <c r="P133">
        <v>15379473.025</v>
      </c>
      <c r="R133">
        <v>69583663.122999996</v>
      </c>
      <c r="S133">
        <v>1686198.68</v>
      </c>
      <c r="U133">
        <v>3537380.3480000002</v>
      </c>
      <c r="W133">
        <v>3951150.233</v>
      </c>
      <c r="Y133">
        <f t="shared" si="106"/>
        <v>4123767373.8990002</v>
      </c>
      <c r="AB133">
        <f t="shared" si="107"/>
        <v>0.5805159244236342</v>
      </c>
      <c r="AC133">
        <f t="shared" si="108"/>
        <v>4.2533734984706709E-2</v>
      </c>
      <c r="AD133">
        <f t="shared" si="109"/>
        <v>0.2863462479891381</v>
      </c>
      <c r="AE133">
        <f t="shared" si="110"/>
        <v>0</v>
      </c>
      <c r="AF133">
        <f t="shared" si="104"/>
        <v>8.8788148611985113E-2</v>
      </c>
      <c r="AG133">
        <f t="shared" si="105"/>
        <v>0.68658677968248205</v>
      </c>
    </row>
    <row r="134" spans="1:33" x14ac:dyDescent="0.45">
      <c r="A134" t="s">
        <v>113</v>
      </c>
      <c r="B134">
        <v>2</v>
      </c>
      <c r="C134">
        <v>3</v>
      </c>
      <c r="D134">
        <v>24</v>
      </c>
      <c r="E134">
        <f t="shared" si="98"/>
        <v>7.833333333333333</v>
      </c>
      <c r="F134">
        <v>2277741959.2719998</v>
      </c>
      <c r="G134">
        <v>139292177.995</v>
      </c>
      <c r="I134">
        <v>152015211.06600001</v>
      </c>
      <c r="K134">
        <v>1226221349.201</v>
      </c>
      <c r="O134">
        <v>303972467.546</v>
      </c>
      <c r="P134">
        <v>16860295.191</v>
      </c>
      <c r="R134">
        <v>77021501.785999998</v>
      </c>
      <c r="S134">
        <v>1573422.7069999999</v>
      </c>
      <c r="U134">
        <v>4611759.9809999997</v>
      </c>
      <c r="W134">
        <v>4228063.6150000002</v>
      </c>
      <c r="Y134">
        <f t="shared" si="106"/>
        <v>4203538208.3599987</v>
      </c>
      <c r="AB134">
        <f t="shared" si="107"/>
        <v>0.57499992089045393</v>
      </c>
      <c r="AC134">
        <f t="shared" si="108"/>
        <v>3.6163632523589791E-2</v>
      </c>
      <c r="AD134">
        <f t="shared" si="109"/>
        <v>0.29171171722961631</v>
      </c>
      <c r="AE134">
        <f t="shared" si="110"/>
        <v>0</v>
      </c>
      <c r="AF134">
        <f t="shared" si="104"/>
        <v>9.5021781040462064E-2</v>
      </c>
      <c r="AG134">
        <f t="shared" si="105"/>
        <v>0.68871902799225415</v>
      </c>
    </row>
    <row r="135" spans="1:33" x14ac:dyDescent="0.45">
      <c r="A135" t="s">
        <v>114</v>
      </c>
      <c r="B135">
        <v>2</v>
      </c>
      <c r="C135">
        <v>4</v>
      </c>
      <c r="D135">
        <v>27</v>
      </c>
      <c r="E135">
        <f t="shared" si="98"/>
        <v>8.8833333333333329</v>
      </c>
      <c r="F135">
        <v>2212055939.2199998</v>
      </c>
      <c r="G135">
        <v>125835435.222</v>
      </c>
      <c r="I135">
        <v>109909672.465</v>
      </c>
      <c r="K135">
        <v>1177765094.79</v>
      </c>
      <c r="O135">
        <v>297632438.80800003</v>
      </c>
      <c r="P135">
        <v>15662245.819</v>
      </c>
      <c r="R135">
        <v>87656118.401999995</v>
      </c>
      <c r="S135">
        <v>2185700.773</v>
      </c>
      <c r="U135">
        <v>6156258.9390000002</v>
      </c>
      <c r="W135">
        <v>4208015.32</v>
      </c>
      <c r="Y135">
        <f t="shared" si="106"/>
        <v>4039066919.7579999</v>
      </c>
      <c r="AB135">
        <f t="shared" si="107"/>
        <v>0.57881966822725339</v>
      </c>
      <c r="AC135">
        <f t="shared" si="108"/>
        <v>2.7211649286460752E-2</v>
      </c>
      <c r="AD135">
        <f t="shared" si="109"/>
        <v>0.29159336009727849</v>
      </c>
      <c r="AE135">
        <f t="shared" si="110"/>
        <v>0</v>
      </c>
      <c r="AF135">
        <f t="shared" si="104"/>
        <v>9.980931532230071E-2</v>
      </c>
      <c r="AG135">
        <f t="shared" si="105"/>
        <v>0.70087219490500818</v>
      </c>
    </row>
    <row r="136" spans="1:33" x14ac:dyDescent="0.45">
      <c r="A136" t="s">
        <v>115</v>
      </c>
      <c r="B136">
        <v>2</v>
      </c>
      <c r="C136">
        <v>5</v>
      </c>
      <c r="D136">
        <v>30</v>
      </c>
      <c r="E136">
        <f t="shared" si="98"/>
        <v>9.9333333333333336</v>
      </c>
      <c r="F136">
        <v>2265314625.1090002</v>
      </c>
      <c r="G136">
        <v>130869247.397</v>
      </c>
      <c r="I136">
        <v>89412174.229000002</v>
      </c>
      <c r="K136">
        <v>1214118427.1470001</v>
      </c>
      <c r="O136">
        <v>312825529.31900001</v>
      </c>
      <c r="P136">
        <v>17266980.489</v>
      </c>
      <c r="R136">
        <v>97621052.211999997</v>
      </c>
      <c r="S136">
        <v>2413681.7629999998</v>
      </c>
      <c r="U136">
        <v>8708135.9780000001</v>
      </c>
      <c r="W136">
        <v>5219143.78</v>
      </c>
      <c r="Y136">
        <f t="shared" si="106"/>
        <v>4143768997.4230003</v>
      </c>
      <c r="AB136">
        <f t="shared" si="107"/>
        <v>0.57826193351902122</v>
      </c>
      <c r="AC136">
        <f t="shared" si="108"/>
        <v>2.1577499683164098E-2</v>
      </c>
      <c r="AD136">
        <f t="shared" si="109"/>
        <v>0.29299857880640967</v>
      </c>
      <c r="AE136">
        <f t="shared" si="110"/>
        <v>0</v>
      </c>
      <c r="AF136">
        <f t="shared" si="104"/>
        <v>0.10380097057787128</v>
      </c>
      <c r="AG136">
        <f t="shared" si="105"/>
        <v>0.70620390569162705</v>
      </c>
    </row>
    <row r="137" spans="1:33" x14ac:dyDescent="0.45">
      <c r="A137" t="s">
        <v>116</v>
      </c>
      <c r="B137">
        <v>2</v>
      </c>
      <c r="C137">
        <v>6</v>
      </c>
      <c r="D137">
        <v>32</v>
      </c>
      <c r="E137">
        <f t="shared" si="98"/>
        <v>10.966666666666667</v>
      </c>
      <c r="F137">
        <v>2209460294.1160002</v>
      </c>
      <c r="G137">
        <v>121651457.39300001</v>
      </c>
      <c r="I137">
        <v>67050009.924000002</v>
      </c>
      <c r="K137">
        <v>1181764267.9560001</v>
      </c>
      <c r="O137">
        <v>319281196.73299998</v>
      </c>
      <c r="P137">
        <v>19572705.973999999</v>
      </c>
      <c r="R137">
        <v>100632553.91</v>
      </c>
      <c r="S137">
        <v>2690841.0079999999</v>
      </c>
      <c r="U137">
        <v>11342856.412</v>
      </c>
      <c r="W137">
        <v>4873159.6689999998</v>
      </c>
      <c r="Y137">
        <f t="shared" si="106"/>
        <v>4038319343.0949998</v>
      </c>
      <c r="AB137">
        <f t="shared" si="107"/>
        <v>0.57724799686654249</v>
      </c>
      <c r="AC137">
        <f t="shared" si="108"/>
        <v>1.6603444212168805E-2</v>
      </c>
      <c r="AD137">
        <f t="shared" si="109"/>
        <v>0.2926376463953162</v>
      </c>
      <c r="AE137">
        <f t="shared" si="110"/>
        <v>0</v>
      </c>
      <c r="AF137">
        <f t="shared" si="104"/>
        <v>0.10949537667967384</v>
      </c>
      <c r="AG137">
        <f t="shared" si="105"/>
        <v>0.71232911507373309</v>
      </c>
    </row>
    <row r="138" spans="1:33" x14ac:dyDescent="0.45">
      <c r="A138" t="s">
        <v>117</v>
      </c>
      <c r="B138">
        <v>2</v>
      </c>
      <c r="C138">
        <v>7</v>
      </c>
      <c r="D138">
        <v>35</v>
      </c>
      <c r="E138">
        <f t="shared" si="98"/>
        <v>12.016666666666667</v>
      </c>
      <c r="F138">
        <v>2119450188.54</v>
      </c>
      <c r="G138">
        <v>117509376.719</v>
      </c>
      <c r="I138">
        <v>53185136.971000001</v>
      </c>
      <c r="K138">
        <v>1198710719.3310001</v>
      </c>
      <c r="O138">
        <v>325191623.28799999</v>
      </c>
      <c r="P138">
        <v>17180866.691</v>
      </c>
      <c r="R138">
        <v>114296920.957</v>
      </c>
      <c r="S138">
        <v>2492210.02</v>
      </c>
      <c r="U138">
        <v>13987928.835000001</v>
      </c>
      <c r="W138">
        <v>5828703.3650000002</v>
      </c>
      <c r="Y138">
        <f t="shared" si="106"/>
        <v>3967833674.7169995</v>
      </c>
      <c r="AB138">
        <f t="shared" si="107"/>
        <v>0.56377352193789931</v>
      </c>
      <c r="AC138">
        <f t="shared" si="108"/>
        <v>1.3404074195421853E-2</v>
      </c>
      <c r="AD138">
        <f t="shared" si="109"/>
        <v>0.30210709863399116</v>
      </c>
      <c r="AE138">
        <f t="shared" si="110"/>
        <v>0</v>
      </c>
      <c r="AF138">
        <f t="shared" si="104"/>
        <v>0.11572098494999265</v>
      </c>
      <c r="AG138">
        <f t="shared" si="105"/>
        <v>0.70892848536364794</v>
      </c>
    </row>
    <row r="139" spans="1:33" x14ac:dyDescent="0.45">
      <c r="A139" t="s">
        <v>118</v>
      </c>
      <c r="B139">
        <v>2</v>
      </c>
      <c r="C139">
        <v>8</v>
      </c>
      <c r="D139">
        <v>37</v>
      </c>
      <c r="E139">
        <f t="shared" si="98"/>
        <v>13.05</v>
      </c>
      <c r="F139">
        <v>2141523001.9549999</v>
      </c>
      <c r="G139">
        <v>119784308.05500001</v>
      </c>
      <c r="I139">
        <v>42300022.840000004</v>
      </c>
      <c r="K139">
        <v>1126230569.2750001</v>
      </c>
      <c r="O139">
        <v>336680123.79000002</v>
      </c>
      <c r="P139">
        <v>18034443.807</v>
      </c>
      <c r="R139">
        <v>120872443.54899999</v>
      </c>
      <c r="S139">
        <v>2713356.3530000001</v>
      </c>
      <c r="U139">
        <v>16915018.563000001</v>
      </c>
      <c r="W139">
        <v>5936723.2280000001</v>
      </c>
      <c r="Y139">
        <f t="shared" si="106"/>
        <v>3930990011.4150004</v>
      </c>
      <c r="AB139">
        <f t="shared" si="107"/>
        <v>0.5752513497728321</v>
      </c>
      <c r="AC139">
        <f t="shared" si="108"/>
        <v>1.0760653860011635E-2</v>
      </c>
      <c r="AD139">
        <f t="shared" si="109"/>
        <v>0.28650049122602622</v>
      </c>
      <c r="AE139">
        <f t="shared" si="110"/>
        <v>0</v>
      </c>
      <c r="AF139">
        <f t="shared" si="104"/>
        <v>0.12167427699131468</v>
      </c>
      <c r="AG139">
        <f t="shared" si="105"/>
        <v>0.72836447538577276</v>
      </c>
    </row>
    <row r="140" spans="1:33" x14ac:dyDescent="0.45">
      <c r="A140" t="s">
        <v>119</v>
      </c>
      <c r="B140">
        <v>2</v>
      </c>
      <c r="C140">
        <v>9</v>
      </c>
      <c r="D140">
        <v>48</v>
      </c>
      <c r="E140">
        <f t="shared" si="98"/>
        <v>14.233333333333333</v>
      </c>
      <c r="F140">
        <v>2096775959.973</v>
      </c>
      <c r="G140">
        <v>125954552.88</v>
      </c>
      <c r="I140">
        <v>31258825.232999999</v>
      </c>
      <c r="K140">
        <v>1091253399.171</v>
      </c>
      <c r="O140">
        <v>355694352.16299999</v>
      </c>
      <c r="P140">
        <v>19524179.245000001</v>
      </c>
      <c r="R140">
        <v>130708324.76800001</v>
      </c>
      <c r="S140">
        <v>3061215.2540000002</v>
      </c>
      <c r="U140">
        <v>18869949.182999998</v>
      </c>
      <c r="W140">
        <v>6389745.0209999997</v>
      </c>
      <c r="Y140">
        <f t="shared" si="106"/>
        <v>3879490502.8910003</v>
      </c>
      <c r="AB140">
        <f t="shared" si="107"/>
        <v>0.57294392425928586</v>
      </c>
      <c r="AC140">
        <f t="shared" si="108"/>
        <v>8.0574563102309166E-3</v>
      </c>
      <c r="AD140">
        <f t="shared" si="109"/>
        <v>0.28128781301508454</v>
      </c>
      <c r="AE140">
        <f t="shared" si="110"/>
        <v>0</v>
      </c>
      <c r="AF140">
        <f t="shared" si="104"/>
        <v>0.13119972095580634</v>
      </c>
      <c r="AG140">
        <f t="shared" si="105"/>
        <v>0.73862485864307059</v>
      </c>
    </row>
    <row r="141" spans="1:33" x14ac:dyDescent="0.45">
      <c r="A141" t="s">
        <v>120</v>
      </c>
      <c r="B141">
        <v>2</v>
      </c>
      <c r="C141">
        <v>19</v>
      </c>
      <c r="D141">
        <v>6</v>
      </c>
      <c r="E141">
        <f t="shared" si="98"/>
        <v>23.533333333333335</v>
      </c>
      <c r="F141">
        <v>2276831995.2820001</v>
      </c>
      <c r="G141">
        <v>136911076.13600001</v>
      </c>
      <c r="I141">
        <v>7186368.9349999996</v>
      </c>
      <c r="K141">
        <v>1033367718.182</v>
      </c>
      <c r="O141">
        <v>468452155.23400003</v>
      </c>
      <c r="P141">
        <v>25941046.153999999</v>
      </c>
      <c r="R141">
        <v>229989096.23199999</v>
      </c>
      <c r="S141">
        <v>5132541.3870000001</v>
      </c>
      <c r="U141">
        <v>55248073.890000001</v>
      </c>
      <c r="W141">
        <v>8521847.9759999998</v>
      </c>
      <c r="Y141">
        <f t="shared" si="106"/>
        <v>4247581919.408</v>
      </c>
      <c r="AB141">
        <f t="shared" si="107"/>
        <v>0.56826286513490287</v>
      </c>
      <c r="AC141">
        <f t="shared" si="108"/>
        <v>1.691872945914034E-3</v>
      </c>
      <c r="AD141">
        <f t="shared" si="109"/>
        <v>0.24328376421896628</v>
      </c>
      <c r="AE141">
        <f t="shared" si="110"/>
        <v>0</v>
      </c>
      <c r="AF141">
        <f t="shared" si="104"/>
        <v>0.17174826827322848</v>
      </c>
      <c r="AG141">
        <f t="shared" si="105"/>
        <v>0.79536536602332475</v>
      </c>
    </row>
    <row r="142" spans="1:33" x14ac:dyDescent="0.45">
      <c r="A142" t="s">
        <v>121</v>
      </c>
      <c r="B142">
        <v>2</v>
      </c>
      <c r="C142">
        <v>22</v>
      </c>
      <c r="D142">
        <v>57</v>
      </c>
      <c r="E142">
        <f t="shared" si="98"/>
        <v>27.383333333333333</v>
      </c>
      <c r="F142">
        <v>2163457477.1129999</v>
      </c>
      <c r="G142">
        <v>120694368.752</v>
      </c>
      <c r="I142">
        <v>19636259.300999999</v>
      </c>
      <c r="K142">
        <v>927141146.25600004</v>
      </c>
      <c r="O142">
        <v>492967706.25999999</v>
      </c>
      <c r="P142">
        <v>25924032.686999999</v>
      </c>
      <c r="R142">
        <v>260089652.10800001</v>
      </c>
      <c r="S142">
        <v>6971858.8870000001</v>
      </c>
      <c r="U142">
        <v>74171374.973000005</v>
      </c>
      <c r="W142">
        <v>9106495.9829999991</v>
      </c>
      <c r="Y142">
        <f t="shared" si="106"/>
        <v>4100160372.3199997</v>
      </c>
      <c r="AB142">
        <f t="shared" si="107"/>
        <v>0.55708841568373946</v>
      </c>
      <c r="AC142">
        <f t="shared" si="108"/>
        <v>4.7891442084957245E-3</v>
      </c>
      <c r="AD142">
        <f t="shared" si="109"/>
        <v>0.22612314203978182</v>
      </c>
      <c r="AE142">
        <f t="shared" si="110"/>
        <v>0</v>
      </c>
      <c r="AF142">
        <f t="shared" si="104"/>
        <v>0.1916884166892435</v>
      </c>
      <c r="AG142">
        <f t="shared" si="105"/>
        <v>0.81391123852887881</v>
      </c>
    </row>
    <row r="143" spans="1:33" x14ac:dyDescent="0.45">
      <c r="A143" t="s">
        <v>122</v>
      </c>
      <c r="B143">
        <v>3</v>
      </c>
      <c r="C143">
        <v>8</v>
      </c>
      <c r="D143">
        <v>48</v>
      </c>
      <c r="E143">
        <f t="shared" si="98"/>
        <v>37.233333333333334</v>
      </c>
      <c r="F143">
        <v>2113592950.2579999</v>
      </c>
      <c r="G143">
        <v>122806458.205</v>
      </c>
      <c r="I143">
        <v>397468.38099999999</v>
      </c>
      <c r="K143">
        <v>713727909.93799996</v>
      </c>
      <c r="O143">
        <v>569964440.09399998</v>
      </c>
      <c r="P143">
        <v>33198329.903999999</v>
      </c>
      <c r="R143">
        <v>344699460.08099997</v>
      </c>
      <c r="S143">
        <v>9847052.9010000005</v>
      </c>
      <c r="U143">
        <v>115915882.263</v>
      </c>
      <c r="W143">
        <v>10012357.093</v>
      </c>
      <c r="Y143">
        <f t="shared" si="106"/>
        <v>4034162309.1179991</v>
      </c>
      <c r="AB143">
        <f t="shared" ref="AB143:AB146" si="111">SUM(F143:G143)/Y143</f>
        <v>0.55436525283286142</v>
      </c>
      <c r="AC143">
        <f t="shared" ref="AC143:AC146" si="112">I143/Y143</f>
        <v>9.8525629497267229E-5</v>
      </c>
      <c r="AD143">
        <f t="shared" ref="AD143:AD146" si="113">K143/Y143</f>
        <v>0.17692097026558271</v>
      </c>
      <c r="AE143">
        <f t="shared" ref="AE143:AE146" si="114">M143/Y143</f>
        <v>0</v>
      </c>
      <c r="AF143">
        <f t="shared" si="104"/>
        <v>0.23739978949666674</v>
      </c>
      <c r="AG143">
        <f t="shared" si="105"/>
        <v>0.87965107313712732</v>
      </c>
    </row>
    <row r="144" spans="1:33" x14ac:dyDescent="0.45">
      <c r="A144" t="s">
        <v>123</v>
      </c>
      <c r="B144">
        <v>3</v>
      </c>
      <c r="C144">
        <v>17</v>
      </c>
      <c r="D144">
        <v>33</v>
      </c>
      <c r="E144">
        <f t="shared" si="98"/>
        <v>45.983333333333334</v>
      </c>
      <c r="F144">
        <v>2053795419.694</v>
      </c>
      <c r="G144">
        <v>132377779.71699999</v>
      </c>
      <c r="K144">
        <v>577546521.04200006</v>
      </c>
      <c r="O144">
        <v>586076044.60699999</v>
      </c>
      <c r="P144">
        <v>36367349.916000001</v>
      </c>
      <c r="R144">
        <v>391667468.75599998</v>
      </c>
      <c r="S144">
        <v>14385960.982999999</v>
      </c>
      <c r="U144">
        <v>151207210.08399999</v>
      </c>
      <c r="W144">
        <v>10360399.17</v>
      </c>
      <c r="Y144">
        <f t="shared" si="106"/>
        <v>3953784153.9689999</v>
      </c>
      <c r="AB144">
        <f t="shared" si="111"/>
        <v>0.55293185320104365</v>
      </c>
      <c r="AC144">
        <f t="shared" si="112"/>
        <v>0</v>
      </c>
      <c r="AD144">
        <f t="shared" si="113"/>
        <v>0.1460743678843042</v>
      </c>
      <c r="AE144">
        <f t="shared" si="114"/>
        <v>0</v>
      </c>
      <c r="AF144">
        <f t="shared" si="104"/>
        <v>0.26012973501083642</v>
      </c>
      <c r="AG144">
        <f t="shared" si="105"/>
        <v>0.91576153690062778</v>
      </c>
    </row>
    <row r="145" spans="1:33" x14ac:dyDescent="0.45">
      <c r="A145" t="s">
        <v>124</v>
      </c>
      <c r="B145">
        <v>4</v>
      </c>
      <c r="C145">
        <v>9</v>
      </c>
      <c r="D145">
        <v>10</v>
      </c>
      <c r="E145">
        <f t="shared" si="98"/>
        <v>61.6</v>
      </c>
      <c r="F145">
        <v>1955980780.473</v>
      </c>
      <c r="G145">
        <v>139474413.00999999</v>
      </c>
      <c r="K145">
        <v>383397577.06999999</v>
      </c>
      <c r="O145">
        <v>614669530.34300005</v>
      </c>
      <c r="P145">
        <v>41662350.681000002</v>
      </c>
      <c r="R145">
        <v>495484753.22500002</v>
      </c>
      <c r="S145">
        <v>23142515.465999998</v>
      </c>
      <c r="U145">
        <v>205238521.669</v>
      </c>
      <c r="W145">
        <v>9435427.4979999997</v>
      </c>
      <c r="Y145">
        <f t="shared" si="106"/>
        <v>3868485869.4350004</v>
      </c>
      <c r="AB145">
        <f t="shared" si="111"/>
        <v>0.54167321898193854</v>
      </c>
      <c r="AC145">
        <f t="shared" si="112"/>
        <v>0</v>
      </c>
      <c r="AD145">
        <f t="shared" si="113"/>
        <v>9.9107917156744302E-2</v>
      </c>
      <c r="AE145">
        <f t="shared" si="114"/>
        <v>0</v>
      </c>
      <c r="AF145">
        <f t="shared" si="104"/>
        <v>0.3037258476238418</v>
      </c>
      <c r="AG145">
        <f t="shared" si="105"/>
        <v>0.97946373329842262</v>
      </c>
    </row>
    <row r="146" spans="1:33" x14ac:dyDescent="0.45">
      <c r="A146" t="s">
        <v>125</v>
      </c>
      <c r="B146">
        <v>4</v>
      </c>
      <c r="C146">
        <v>17</v>
      </c>
      <c r="D146">
        <v>58</v>
      </c>
      <c r="E146">
        <f t="shared" si="98"/>
        <v>70.400000000000006</v>
      </c>
      <c r="F146">
        <v>1862210584.5</v>
      </c>
      <c r="G146">
        <v>111309443.81900001</v>
      </c>
      <c r="K146">
        <v>289595851.07800001</v>
      </c>
      <c r="O146">
        <v>647157703.148</v>
      </c>
      <c r="P146">
        <v>37226286.386</v>
      </c>
      <c r="R146">
        <v>516989532.46700001</v>
      </c>
      <c r="S146">
        <v>22860334.522999998</v>
      </c>
      <c r="U146">
        <v>217874412.78600001</v>
      </c>
      <c r="W146">
        <v>8502234.2219999991</v>
      </c>
      <c r="Y146">
        <f t="shared" si="106"/>
        <v>3713726382.9289999</v>
      </c>
      <c r="AB146">
        <f t="shared" si="111"/>
        <v>0.53141234028191742</v>
      </c>
      <c r="AC146">
        <f t="shared" si="112"/>
        <v>0</v>
      </c>
      <c r="AD146">
        <f t="shared" si="113"/>
        <v>7.7979856676893097E-2</v>
      </c>
      <c r="AE146">
        <f t="shared" si="114"/>
        <v>0</v>
      </c>
      <c r="AF146">
        <f t="shared" si="104"/>
        <v>0.32965106480420131</v>
      </c>
      <c r="AG146">
        <f t="shared" si="105"/>
        <v>1.0064294906091515</v>
      </c>
    </row>
    <row r="147" spans="1:33" x14ac:dyDescent="0.45">
      <c r="F147" s="1"/>
      <c r="G147" s="1"/>
      <c r="H147" s="1"/>
      <c r="I147" s="1"/>
      <c r="J147" s="1"/>
      <c r="K147" s="1"/>
      <c r="L147" s="1"/>
      <c r="M147" s="1"/>
      <c r="O147" s="1"/>
      <c r="P147" s="1"/>
      <c r="R147" s="1"/>
      <c r="S147" s="1"/>
      <c r="U147" s="1"/>
      <c r="W14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7"/>
  <sheetViews>
    <sheetView topLeftCell="A2" zoomScale="110" zoomScaleNormal="110" workbookViewId="0">
      <selection activeCell="H37" sqref="H37"/>
    </sheetView>
  </sheetViews>
  <sheetFormatPr defaultColWidth="10.6640625" defaultRowHeight="14.25" x14ac:dyDescent="0.45"/>
  <cols>
    <col min="1" max="1" width="30" customWidth="1"/>
    <col min="2" max="2" width="8.1328125" customWidth="1"/>
    <col min="17" max="17" width="11.1328125" bestFit="1" customWidth="1"/>
  </cols>
  <sheetData>
    <row r="1" spans="1:21" ht="16.05" x14ac:dyDescent="0.2">
      <c r="A1" s="3"/>
      <c r="B1" s="3"/>
      <c r="C1" s="3"/>
      <c r="D1" s="3"/>
      <c r="E1" s="3"/>
      <c r="F1" s="3"/>
      <c r="G1" s="3" t="s">
        <v>69</v>
      </c>
      <c r="H1" s="3"/>
      <c r="I1" t="s">
        <v>72</v>
      </c>
      <c r="J1" t="s">
        <v>11</v>
      </c>
      <c r="K1" s="3" t="s">
        <v>11</v>
      </c>
      <c r="M1" t="s">
        <v>2</v>
      </c>
      <c r="O1" s="3" t="s">
        <v>73</v>
      </c>
    </row>
    <row r="2" spans="1:21" ht="16.05" x14ac:dyDescent="0.2">
      <c r="A2" s="3"/>
      <c r="B2" s="3"/>
      <c r="C2" s="3"/>
      <c r="D2" s="3"/>
      <c r="E2" s="3" t="s">
        <v>70</v>
      </c>
      <c r="F2" s="3"/>
      <c r="G2" s="3">
        <v>2</v>
      </c>
      <c r="H2" s="3">
        <v>1</v>
      </c>
      <c r="I2">
        <v>2</v>
      </c>
      <c r="J2" s="3">
        <v>2</v>
      </c>
      <c r="K2" s="3">
        <v>1</v>
      </c>
      <c r="M2" s="3">
        <v>1</v>
      </c>
      <c r="O2" s="3">
        <v>1</v>
      </c>
    </row>
    <row r="3" spans="1:21" ht="16.05" x14ac:dyDescent="0.2">
      <c r="A3" s="3" t="s">
        <v>71</v>
      </c>
      <c r="B3" s="3" t="s">
        <v>75</v>
      </c>
      <c r="C3" s="3" t="s">
        <v>15</v>
      </c>
      <c r="D3" s="3" t="s">
        <v>16</v>
      </c>
      <c r="E3" s="3" t="s">
        <v>10</v>
      </c>
      <c r="F3" s="3"/>
      <c r="G3" s="3">
        <v>346.66289999999998</v>
      </c>
      <c r="H3" s="3">
        <v>692.31849999999997</v>
      </c>
      <c r="I3">
        <v>367.17630000000003</v>
      </c>
      <c r="J3" s="1">
        <v>352.66289999999998</v>
      </c>
      <c r="K3" s="3">
        <v>704.31799999999998</v>
      </c>
      <c r="M3" s="3">
        <v>892.33280000000002</v>
      </c>
      <c r="O3" s="4">
        <v>844.32452999999998</v>
      </c>
      <c r="Q3" t="s">
        <v>0</v>
      </c>
      <c r="S3" t="s">
        <v>1</v>
      </c>
      <c r="T3" t="s">
        <v>2</v>
      </c>
      <c r="U3" t="s">
        <v>3</v>
      </c>
    </row>
    <row r="4" spans="1:21" ht="16.05" x14ac:dyDescent="0.2">
      <c r="A4" s="3"/>
      <c r="B4" s="3">
        <v>1</v>
      </c>
      <c r="C4" s="3">
        <v>19</v>
      </c>
      <c r="D4" s="3">
        <v>3</v>
      </c>
      <c r="E4" s="3">
        <v>0</v>
      </c>
      <c r="F4" s="3"/>
      <c r="G4" s="3"/>
      <c r="H4" s="3"/>
      <c r="J4" s="1"/>
      <c r="K4" s="3"/>
      <c r="M4" s="3"/>
      <c r="O4" s="4"/>
      <c r="S4">
        <v>1</v>
      </c>
      <c r="T4">
        <v>0</v>
      </c>
      <c r="U4">
        <v>0</v>
      </c>
    </row>
    <row r="5" spans="1:21" ht="15" x14ac:dyDescent="0.2">
      <c r="A5" t="s">
        <v>74</v>
      </c>
      <c r="B5">
        <v>1</v>
      </c>
      <c r="C5">
        <v>19</v>
      </c>
      <c r="D5">
        <v>5</v>
      </c>
      <c r="E5">
        <f>(B5-$B$4)*24+(C5-$C$4)+(D5-$D$4)/60</f>
        <v>3.3333333333333333E-2</v>
      </c>
      <c r="G5">
        <v>1600224412.927</v>
      </c>
      <c r="H5">
        <v>45742858.557999998</v>
      </c>
      <c r="I5">
        <v>4051329.6359999999</v>
      </c>
      <c r="J5">
        <v>15843534.723999999</v>
      </c>
      <c r="K5">
        <v>1288016.7080000001</v>
      </c>
      <c r="M5">
        <v>3747182.537</v>
      </c>
      <c r="O5">
        <v>14172255.017999999</v>
      </c>
      <c r="Q5">
        <f>SUM(G5:O5)</f>
        <v>1685069590.1079998</v>
      </c>
      <c r="S5">
        <f>SUM(G5:K5)/Q5</f>
        <v>0.98936575815017147</v>
      </c>
      <c r="T5">
        <f>SUM(M5/Q5)</f>
        <v>2.2237553623882292E-3</v>
      </c>
      <c r="U5">
        <f>O5/Q5</f>
        <v>8.4104864874403606E-3</v>
      </c>
    </row>
    <row r="6" spans="1:21" ht="15" x14ac:dyDescent="0.2">
      <c r="A6" t="s">
        <v>76</v>
      </c>
      <c r="B6">
        <v>1</v>
      </c>
      <c r="C6">
        <v>19</v>
      </c>
      <c r="D6">
        <v>42</v>
      </c>
      <c r="E6">
        <f t="shared" ref="E6:E29" si="0">(B6-$B$4)*24+(C6-$C$4)+(D6-$D$4)/60</f>
        <v>0.65</v>
      </c>
      <c r="G6">
        <v>910954530.23699999</v>
      </c>
      <c r="H6">
        <v>22012233.046</v>
      </c>
      <c r="I6">
        <v>8943244.8059999999</v>
      </c>
      <c r="J6">
        <v>140798883.38999999</v>
      </c>
      <c r="K6">
        <v>8685984.8230000008</v>
      </c>
      <c r="M6">
        <v>4250054.9349999996</v>
      </c>
      <c r="O6">
        <v>286020798.87300003</v>
      </c>
      <c r="Q6">
        <f t="shared" ref="Q6:Q11" si="1">SUM(G6:O6)</f>
        <v>1381665730.1100001</v>
      </c>
      <c r="S6">
        <f t="shared" ref="S6:S11" si="2">SUM(G6:K6)/Q6</f>
        <v>0.78991238800944252</v>
      </c>
      <c r="T6">
        <f t="shared" ref="T6:T11" si="3">SUM(M6/Q6)</f>
        <v>3.0760370199394284E-3</v>
      </c>
      <c r="U6">
        <f t="shared" ref="U6:U11" si="4">O6/Q6</f>
        <v>0.20701157497061806</v>
      </c>
    </row>
    <row r="7" spans="1:21" ht="15" x14ac:dyDescent="0.2">
      <c r="A7" t="s">
        <v>77</v>
      </c>
      <c r="B7">
        <v>1</v>
      </c>
      <c r="C7">
        <v>20</v>
      </c>
      <c r="D7">
        <v>19</v>
      </c>
      <c r="E7">
        <f t="shared" si="0"/>
        <v>1.2666666666666666</v>
      </c>
      <c r="G7">
        <v>706070853.83200002</v>
      </c>
      <c r="H7">
        <v>15122753.448999999</v>
      </c>
      <c r="I7">
        <v>13091939.762</v>
      </c>
      <c r="J7">
        <v>203932394.884</v>
      </c>
      <c r="K7">
        <v>10485103.747</v>
      </c>
      <c r="M7">
        <v>4442051.8020000001</v>
      </c>
      <c r="O7">
        <v>322865932.55400002</v>
      </c>
      <c r="Q7">
        <f t="shared" si="1"/>
        <v>1276011030.0300002</v>
      </c>
      <c r="S7">
        <f t="shared" si="2"/>
        <v>0.74349125779241509</v>
      </c>
      <c r="T7">
        <f t="shared" si="3"/>
        <v>3.4812017274612143E-3</v>
      </c>
      <c r="U7">
        <f t="shared" si="4"/>
        <v>0.25302754048012355</v>
      </c>
    </row>
    <row r="8" spans="1:21" ht="15" x14ac:dyDescent="0.2">
      <c r="A8" t="s">
        <v>78</v>
      </c>
      <c r="B8">
        <v>1</v>
      </c>
      <c r="C8">
        <v>20</v>
      </c>
      <c r="D8">
        <v>55</v>
      </c>
      <c r="E8">
        <f t="shared" si="0"/>
        <v>1.8666666666666667</v>
      </c>
      <c r="G8">
        <v>641773720.93499994</v>
      </c>
      <c r="H8">
        <v>12542251.898</v>
      </c>
      <c r="I8">
        <v>18657908.831</v>
      </c>
      <c r="J8">
        <v>243887872.428</v>
      </c>
      <c r="K8">
        <v>12399616.129000001</v>
      </c>
      <c r="M8">
        <v>3966992.128</v>
      </c>
      <c r="O8">
        <v>325119384.80500001</v>
      </c>
      <c r="Q8">
        <f t="shared" si="1"/>
        <v>1258347747.1539998</v>
      </c>
      <c r="S8">
        <f t="shared" si="2"/>
        <v>0.73847739809818602</v>
      </c>
      <c r="T8">
        <f t="shared" si="3"/>
        <v>3.1525404141837031E-3</v>
      </c>
      <c r="U8">
        <f t="shared" si="4"/>
        <v>0.25837006148763031</v>
      </c>
    </row>
    <row r="9" spans="1:21" ht="15" x14ac:dyDescent="0.2">
      <c r="A9" t="s">
        <v>79</v>
      </c>
      <c r="B9">
        <v>1</v>
      </c>
      <c r="C9">
        <v>21</v>
      </c>
      <c r="D9">
        <v>31</v>
      </c>
      <c r="E9">
        <f t="shared" si="0"/>
        <v>2.4666666666666668</v>
      </c>
      <c r="G9">
        <v>631882303.88199997</v>
      </c>
      <c r="H9">
        <v>12523382.834000001</v>
      </c>
      <c r="I9">
        <v>25727720.912999999</v>
      </c>
      <c r="J9">
        <v>294368270.977</v>
      </c>
      <c r="K9">
        <v>14360278.631999999</v>
      </c>
      <c r="M9">
        <v>3463078.682</v>
      </c>
      <c r="O9">
        <v>317033109.99400002</v>
      </c>
      <c r="Q9">
        <f t="shared" si="1"/>
        <v>1299358145.914</v>
      </c>
      <c r="S9">
        <f t="shared" si="2"/>
        <v>0.75334268716916741</v>
      </c>
      <c r="T9">
        <f t="shared" si="3"/>
        <v>2.6652225892376934E-3</v>
      </c>
      <c r="U9">
        <f t="shared" si="4"/>
        <v>0.24399209024159482</v>
      </c>
    </row>
    <row r="10" spans="1:21" ht="15" x14ac:dyDescent="0.2">
      <c r="A10" t="s">
        <v>80</v>
      </c>
      <c r="B10">
        <v>1</v>
      </c>
      <c r="C10">
        <v>22</v>
      </c>
      <c r="D10">
        <v>8</v>
      </c>
      <c r="E10">
        <f t="shared" si="0"/>
        <v>3.0833333333333335</v>
      </c>
      <c r="G10">
        <v>606444844.11199999</v>
      </c>
      <c r="H10">
        <v>11489042.801999999</v>
      </c>
      <c r="I10">
        <v>31969056.375999998</v>
      </c>
      <c r="J10">
        <v>330662914.82800001</v>
      </c>
      <c r="K10">
        <v>16468484.998</v>
      </c>
      <c r="M10">
        <v>3111751.5290000001</v>
      </c>
      <c r="O10">
        <v>316435328.92900002</v>
      </c>
      <c r="Q10">
        <f t="shared" si="1"/>
        <v>1316581423.5740001</v>
      </c>
      <c r="S10">
        <f t="shared" si="2"/>
        <v>0.75729030143038512</v>
      </c>
      <c r="T10">
        <f t="shared" si="3"/>
        <v>2.3635086089493955E-3</v>
      </c>
      <c r="U10">
        <f t="shared" si="4"/>
        <v>0.24034618996066548</v>
      </c>
    </row>
    <row r="11" spans="1:21" ht="15" x14ac:dyDescent="0.2">
      <c r="A11" t="s">
        <v>68</v>
      </c>
      <c r="B11">
        <v>1</v>
      </c>
      <c r="C11">
        <v>22</v>
      </c>
      <c r="D11">
        <v>44</v>
      </c>
      <c r="E11">
        <f t="shared" si="0"/>
        <v>3.6833333333333336</v>
      </c>
      <c r="G11">
        <v>603728747.59099996</v>
      </c>
      <c r="H11">
        <v>11699151.142000001</v>
      </c>
      <c r="I11">
        <v>40296643.590999998</v>
      </c>
      <c r="J11">
        <v>376140989.84799999</v>
      </c>
      <c r="K11">
        <v>18030894.193</v>
      </c>
      <c r="M11">
        <v>3191095.48</v>
      </c>
      <c r="O11">
        <v>313491973.57499999</v>
      </c>
      <c r="Q11">
        <f t="shared" si="1"/>
        <v>1366579495.4199998</v>
      </c>
      <c r="S11">
        <f t="shared" si="2"/>
        <v>0.76826590028875585</v>
      </c>
      <c r="T11">
        <f t="shared" si="3"/>
        <v>2.3350968536369411E-3</v>
      </c>
      <c r="U11">
        <f t="shared" si="4"/>
        <v>0.22939900285760723</v>
      </c>
    </row>
    <row r="12" spans="1:21" ht="15" x14ac:dyDescent="0.2">
      <c r="A12" t="s">
        <v>81</v>
      </c>
      <c r="B12">
        <v>1</v>
      </c>
      <c r="C12">
        <v>23</v>
      </c>
      <c r="D12">
        <v>20</v>
      </c>
      <c r="E12">
        <f t="shared" si="0"/>
        <v>4.2833333333333332</v>
      </c>
      <c r="G12">
        <v>587582641.78799999</v>
      </c>
      <c r="H12">
        <v>11595137.674000001</v>
      </c>
      <c r="I12">
        <v>48973615.836000003</v>
      </c>
      <c r="J12">
        <v>395002967.04699999</v>
      </c>
      <c r="K12">
        <v>19859759.899</v>
      </c>
      <c r="M12">
        <v>2378643.7289999998</v>
      </c>
      <c r="O12">
        <v>303640343.14399999</v>
      </c>
      <c r="Q12">
        <f t="shared" ref="Q12:Q27" si="5">SUM(G12:O12)</f>
        <v>1369033109.1170001</v>
      </c>
      <c r="S12">
        <f t="shared" ref="S12:S27" si="6">SUM(G12:K12)/Q12</f>
        <v>0.77647071876123119</v>
      </c>
      <c r="T12">
        <f t="shared" ref="T12:T27" si="7">SUM(M12/Q12)</f>
        <v>1.7374625296930758E-3</v>
      </c>
      <c r="U12">
        <f t="shared" ref="U12:U27" si="8">O12/Q12</f>
        <v>0.22179181870907574</v>
      </c>
    </row>
    <row r="13" spans="1:21" ht="15" x14ac:dyDescent="0.2">
      <c r="A13" t="s">
        <v>82</v>
      </c>
      <c r="B13">
        <v>1</v>
      </c>
      <c r="C13">
        <v>23</v>
      </c>
      <c r="D13">
        <v>57</v>
      </c>
      <c r="E13">
        <f t="shared" si="0"/>
        <v>4.9000000000000004</v>
      </c>
      <c r="G13">
        <v>547897366.46200001</v>
      </c>
      <c r="H13">
        <v>9481305.0869999994</v>
      </c>
      <c r="I13">
        <v>54264808.865999997</v>
      </c>
      <c r="J13">
        <v>418372429.37800002</v>
      </c>
      <c r="K13">
        <v>19573752.236000001</v>
      </c>
      <c r="M13">
        <v>1888438.182</v>
      </c>
      <c r="O13">
        <v>274588968.65200001</v>
      </c>
      <c r="Q13">
        <f t="shared" si="5"/>
        <v>1326067068.8630002</v>
      </c>
      <c r="S13">
        <f t="shared" si="6"/>
        <v>0.79150571390702129</v>
      </c>
      <c r="T13">
        <f t="shared" si="7"/>
        <v>1.4240894946732894E-3</v>
      </c>
      <c r="U13">
        <f t="shared" si="8"/>
        <v>0.20707019659830539</v>
      </c>
    </row>
    <row r="14" spans="1:21" ht="15" x14ac:dyDescent="0.2">
      <c r="A14" t="s">
        <v>83</v>
      </c>
      <c r="B14">
        <v>2</v>
      </c>
      <c r="C14">
        <v>0</v>
      </c>
      <c r="D14">
        <v>33</v>
      </c>
      <c r="E14">
        <f t="shared" si="0"/>
        <v>5.5</v>
      </c>
      <c r="G14">
        <v>544503769.02999997</v>
      </c>
      <c r="H14">
        <v>9747733.0020000003</v>
      </c>
      <c r="I14">
        <v>63641492.066</v>
      </c>
      <c r="J14">
        <v>450025002.46899998</v>
      </c>
      <c r="K14">
        <v>21461198.201000001</v>
      </c>
      <c r="M14">
        <v>1659189.172</v>
      </c>
      <c r="O14">
        <v>269910310.80800003</v>
      </c>
      <c r="Q14">
        <f t="shared" si="5"/>
        <v>1360948694.7479999</v>
      </c>
      <c r="S14">
        <f t="shared" si="6"/>
        <v>0.80045574015537357</v>
      </c>
      <c r="T14">
        <f t="shared" si="7"/>
        <v>1.2191416020331492E-3</v>
      </c>
      <c r="U14">
        <f t="shared" si="8"/>
        <v>0.19832511824259325</v>
      </c>
    </row>
    <row r="15" spans="1:21" ht="15" x14ac:dyDescent="0.2">
      <c r="A15" t="s">
        <v>84</v>
      </c>
      <c r="B15">
        <v>2</v>
      </c>
      <c r="C15">
        <v>1</v>
      </c>
      <c r="D15">
        <v>10</v>
      </c>
      <c r="E15">
        <f t="shared" si="0"/>
        <v>6.1166666666666663</v>
      </c>
      <c r="G15">
        <v>544234381.50999999</v>
      </c>
      <c r="H15">
        <v>9389914.9149999991</v>
      </c>
      <c r="I15">
        <v>70464368.172999993</v>
      </c>
      <c r="J15">
        <v>463424996.60600001</v>
      </c>
      <c r="K15">
        <v>21548555.23</v>
      </c>
      <c r="M15">
        <v>1627332.0090000001</v>
      </c>
      <c r="O15">
        <v>270400448.07999998</v>
      </c>
      <c r="Q15">
        <f t="shared" si="5"/>
        <v>1381089996.523</v>
      </c>
      <c r="S15">
        <f t="shared" si="6"/>
        <v>0.80303399432777678</v>
      </c>
      <c r="T15">
        <f t="shared" si="7"/>
        <v>1.1782954138375727E-3</v>
      </c>
      <c r="U15">
        <f t="shared" si="8"/>
        <v>0.19578771025838565</v>
      </c>
    </row>
    <row r="16" spans="1:21" ht="15" x14ac:dyDescent="0.2">
      <c r="A16" t="s">
        <v>85</v>
      </c>
      <c r="B16">
        <v>2</v>
      </c>
      <c r="C16">
        <v>1</v>
      </c>
      <c r="D16">
        <v>46</v>
      </c>
      <c r="E16">
        <f t="shared" si="0"/>
        <v>6.7166666666666668</v>
      </c>
      <c r="G16">
        <v>534650511.102</v>
      </c>
      <c r="H16">
        <v>9237053.2359999996</v>
      </c>
      <c r="I16">
        <v>81997291.821999997</v>
      </c>
      <c r="J16">
        <v>492681928.14899999</v>
      </c>
      <c r="K16">
        <v>22710725.828000002</v>
      </c>
      <c r="M16">
        <v>1235515.7849999999</v>
      </c>
      <c r="O16">
        <v>249458378.30399999</v>
      </c>
      <c r="Q16">
        <f t="shared" si="5"/>
        <v>1391971404.2260001</v>
      </c>
      <c r="S16">
        <f t="shared" si="6"/>
        <v>0.81990011193628132</v>
      </c>
      <c r="T16">
        <f t="shared" si="7"/>
        <v>8.8760141282284699E-4</v>
      </c>
      <c r="U16">
        <f t="shared" si="8"/>
        <v>0.17921228665089589</v>
      </c>
    </row>
    <row r="17" spans="1:21" ht="15" x14ac:dyDescent="0.2">
      <c r="A17" t="s">
        <v>86</v>
      </c>
      <c r="B17">
        <v>2</v>
      </c>
      <c r="C17">
        <v>2</v>
      </c>
      <c r="D17">
        <v>22</v>
      </c>
      <c r="E17">
        <f t="shared" si="0"/>
        <v>7.3166666666666664</v>
      </c>
      <c r="G17">
        <v>521217697.37199998</v>
      </c>
      <c r="H17">
        <v>9368557.7329999991</v>
      </c>
      <c r="I17">
        <v>88478356.974999994</v>
      </c>
      <c r="J17">
        <v>510423179.472</v>
      </c>
      <c r="K17">
        <v>23584642.820999999</v>
      </c>
      <c r="M17">
        <v>972156.87199999997</v>
      </c>
      <c r="O17">
        <v>234359963.56099999</v>
      </c>
      <c r="Q17">
        <f t="shared" si="5"/>
        <v>1388404554.8060002</v>
      </c>
      <c r="S17">
        <f t="shared" si="6"/>
        <v>0.83050176577252532</v>
      </c>
      <c r="T17">
        <f t="shared" si="7"/>
        <v>7.0019712095790272E-4</v>
      </c>
      <c r="U17">
        <f t="shared" si="8"/>
        <v>0.16879803710651667</v>
      </c>
    </row>
    <row r="18" spans="1:21" ht="15" x14ac:dyDescent="0.2">
      <c r="A18" t="s">
        <v>87</v>
      </c>
      <c r="B18">
        <v>2</v>
      </c>
      <c r="C18">
        <v>2</v>
      </c>
      <c r="D18">
        <v>59</v>
      </c>
      <c r="E18">
        <f t="shared" si="0"/>
        <v>7.9333333333333336</v>
      </c>
      <c r="G18">
        <v>516564913.32099998</v>
      </c>
      <c r="H18">
        <v>9411313.3670000006</v>
      </c>
      <c r="I18">
        <v>96898172.191</v>
      </c>
      <c r="J18">
        <v>520225684.977</v>
      </c>
      <c r="K18">
        <v>23372095.304000001</v>
      </c>
      <c r="M18">
        <v>852007.54700000002</v>
      </c>
      <c r="O18">
        <v>238852618.93799999</v>
      </c>
      <c r="Q18">
        <f t="shared" si="5"/>
        <v>1406176805.6449997</v>
      </c>
      <c r="S18">
        <f t="shared" si="6"/>
        <v>0.82953450410878471</v>
      </c>
      <c r="T18">
        <f t="shared" si="7"/>
        <v>6.0590357029050295E-4</v>
      </c>
      <c r="U18">
        <f t="shared" si="8"/>
        <v>0.16985959232092482</v>
      </c>
    </row>
    <row r="19" spans="1:21" ht="15" x14ac:dyDescent="0.2">
      <c r="A19" t="s">
        <v>88</v>
      </c>
      <c r="B19">
        <v>2</v>
      </c>
      <c r="C19">
        <v>4</v>
      </c>
      <c r="D19">
        <v>1</v>
      </c>
      <c r="E19">
        <f t="shared" si="0"/>
        <v>8.9666666666666668</v>
      </c>
      <c r="G19">
        <v>507700767.05400002</v>
      </c>
      <c r="H19">
        <v>8648634.5820000004</v>
      </c>
      <c r="I19">
        <v>110859557.124</v>
      </c>
      <c r="J19">
        <v>547291919.37</v>
      </c>
      <c r="K19">
        <v>24756444.168000001</v>
      </c>
      <c r="M19">
        <v>600359.61399999994</v>
      </c>
      <c r="O19">
        <v>217727918.88600001</v>
      </c>
      <c r="Q19">
        <f t="shared" si="5"/>
        <v>1417585600.7980001</v>
      </c>
      <c r="S19">
        <f t="shared" si="6"/>
        <v>0.8459858237999196</v>
      </c>
      <c r="T19">
        <f t="shared" si="7"/>
        <v>4.2350854414861442E-4</v>
      </c>
      <c r="U19">
        <f t="shared" si="8"/>
        <v>0.15359066765593177</v>
      </c>
    </row>
    <row r="20" spans="1:21" ht="15" x14ac:dyDescent="0.2">
      <c r="A20" t="s">
        <v>89</v>
      </c>
      <c r="B20">
        <v>2</v>
      </c>
      <c r="C20">
        <v>5</v>
      </c>
      <c r="D20">
        <v>4</v>
      </c>
      <c r="E20">
        <f t="shared" si="0"/>
        <v>10.016666666666667</v>
      </c>
      <c r="G20">
        <v>508124640.30299997</v>
      </c>
      <c r="H20">
        <v>8422677.0769999996</v>
      </c>
      <c r="I20">
        <v>126030957.443</v>
      </c>
      <c r="J20">
        <v>572632798.61099994</v>
      </c>
      <c r="K20">
        <v>24817200.991</v>
      </c>
      <c r="M20">
        <v>438713.51699999999</v>
      </c>
      <c r="O20">
        <v>199972798.36700001</v>
      </c>
      <c r="Q20">
        <f t="shared" si="5"/>
        <v>1440439786.309</v>
      </c>
      <c r="S20">
        <f t="shared" si="6"/>
        <v>0.86086783092992947</v>
      </c>
      <c r="T20">
        <f t="shared" si="7"/>
        <v>3.04569146985425E-4</v>
      </c>
      <c r="U20">
        <f t="shared" si="8"/>
        <v>0.13882759992308508</v>
      </c>
    </row>
    <row r="21" spans="1:21" ht="15" x14ac:dyDescent="0.2">
      <c r="A21" t="s">
        <v>90</v>
      </c>
      <c r="B21">
        <v>2</v>
      </c>
      <c r="C21">
        <v>6</v>
      </c>
      <c r="D21">
        <v>6</v>
      </c>
      <c r="E21">
        <f t="shared" si="0"/>
        <v>11.05</v>
      </c>
      <c r="G21">
        <v>496499416.366</v>
      </c>
      <c r="H21">
        <v>9237576.7689999994</v>
      </c>
      <c r="I21">
        <v>138768626.398</v>
      </c>
      <c r="J21">
        <v>595147716.24199998</v>
      </c>
      <c r="K21">
        <v>27774658.232000001</v>
      </c>
      <c r="M21">
        <v>264775.46999999997</v>
      </c>
      <c r="O21">
        <v>180600834.41299999</v>
      </c>
      <c r="Q21">
        <f t="shared" si="5"/>
        <v>1448293603.8900003</v>
      </c>
      <c r="S21">
        <f t="shared" si="6"/>
        <v>0.87511813254079862</v>
      </c>
      <c r="T21">
        <f t="shared" si="7"/>
        <v>1.8281891826963422E-4</v>
      </c>
      <c r="U21">
        <f t="shared" si="8"/>
        <v>0.12469904854093165</v>
      </c>
    </row>
    <row r="22" spans="1:21" ht="15" x14ac:dyDescent="0.2">
      <c r="A22" t="s">
        <v>91</v>
      </c>
      <c r="B22">
        <v>2</v>
      </c>
      <c r="C22">
        <v>7</v>
      </c>
      <c r="D22">
        <v>9</v>
      </c>
      <c r="E22">
        <f t="shared" si="0"/>
        <v>12.1</v>
      </c>
      <c r="G22">
        <v>482225323.19199997</v>
      </c>
      <c r="H22">
        <v>8549386.3760000002</v>
      </c>
      <c r="I22">
        <v>148617668.546</v>
      </c>
      <c r="J22">
        <v>574195013.72899997</v>
      </c>
      <c r="K22">
        <v>20559741.375999998</v>
      </c>
      <c r="M22">
        <v>229597.67600000001</v>
      </c>
      <c r="O22">
        <v>155779069.73800001</v>
      </c>
      <c r="Q22">
        <f t="shared" si="5"/>
        <v>1390155800.6329999</v>
      </c>
      <c r="S22">
        <f t="shared" si="6"/>
        <v>0.88777612743624679</v>
      </c>
      <c r="T22">
        <f t="shared" si="7"/>
        <v>1.6515967195580088E-4</v>
      </c>
      <c r="U22">
        <f t="shared" si="8"/>
        <v>0.11205871289179735</v>
      </c>
    </row>
    <row r="23" spans="1:21" ht="15" x14ac:dyDescent="0.2">
      <c r="A23" t="s">
        <v>92</v>
      </c>
      <c r="B23">
        <v>2</v>
      </c>
      <c r="C23">
        <v>8</v>
      </c>
      <c r="D23">
        <v>11</v>
      </c>
      <c r="E23">
        <f t="shared" si="0"/>
        <v>13.133333333333333</v>
      </c>
      <c r="G23">
        <v>461712728.27399999</v>
      </c>
      <c r="H23">
        <v>7697091.915</v>
      </c>
      <c r="I23">
        <v>157241735.71900001</v>
      </c>
      <c r="J23">
        <v>581040105.77400005</v>
      </c>
      <c r="K23">
        <v>21185429.405999999</v>
      </c>
      <c r="M23">
        <v>165520.788</v>
      </c>
      <c r="O23">
        <v>139726623.19400001</v>
      </c>
      <c r="Q23">
        <f t="shared" si="5"/>
        <v>1368769235.0700002</v>
      </c>
      <c r="S23">
        <f t="shared" si="6"/>
        <v>0.89779713015331919</v>
      </c>
      <c r="T23">
        <f t="shared" si="7"/>
        <v>1.2092673020338239E-4</v>
      </c>
      <c r="U23">
        <f t="shared" si="8"/>
        <v>0.10208194311647738</v>
      </c>
    </row>
    <row r="24" spans="1:21" ht="15" x14ac:dyDescent="0.2">
      <c r="A24" t="s">
        <v>93</v>
      </c>
      <c r="B24">
        <v>2</v>
      </c>
      <c r="C24">
        <v>9</v>
      </c>
      <c r="D24">
        <v>14</v>
      </c>
      <c r="E24">
        <f t="shared" si="0"/>
        <v>14.183333333333334</v>
      </c>
      <c r="G24">
        <v>457068105.74800003</v>
      </c>
      <c r="H24">
        <v>8061497.5700000003</v>
      </c>
      <c r="I24">
        <v>168775320.146</v>
      </c>
      <c r="J24">
        <v>592296070.74699998</v>
      </c>
      <c r="K24">
        <v>21673119.795000002</v>
      </c>
      <c r="M24">
        <v>114431.637</v>
      </c>
      <c r="O24">
        <v>128076222.583</v>
      </c>
      <c r="Q24">
        <f t="shared" si="5"/>
        <v>1376064768.2260001</v>
      </c>
      <c r="S24">
        <f t="shared" si="6"/>
        <v>0.90684257225387632</v>
      </c>
      <c r="T24">
        <f t="shared" si="7"/>
        <v>8.3158612619319781E-5</v>
      </c>
      <c r="U24">
        <f t="shared" si="8"/>
        <v>9.3074269133504348E-2</v>
      </c>
    </row>
    <row r="25" spans="1:21" ht="15" x14ac:dyDescent="0.2">
      <c r="A25" t="s">
        <v>94</v>
      </c>
      <c r="B25">
        <v>2</v>
      </c>
      <c r="C25">
        <v>18</v>
      </c>
      <c r="D25">
        <v>40</v>
      </c>
      <c r="E25">
        <f t="shared" si="0"/>
        <v>23.616666666666667</v>
      </c>
      <c r="G25">
        <v>476386179.78100002</v>
      </c>
      <c r="H25">
        <v>9652738.2290000003</v>
      </c>
      <c r="I25">
        <v>332981996.52200001</v>
      </c>
      <c r="J25">
        <v>756493644.11899996</v>
      </c>
      <c r="K25">
        <v>41563516.726000004</v>
      </c>
      <c r="O25">
        <v>62632365.443999998</v>
      </c>
      <c r="Q25">
        <f t="shared" si="5"/>
        <v>1679710440.8210001</v>
      </c>
      <c r="S25">
        <f t="shared" si="6"/>
        <v>0.96271240332745278</v>
      </c>
      <c r="T25">
        <f t="shared" si="7"/>
        <v>0</v>
      </c>
      <c r="U25">
        <f t="shared" si="8"/>
        <v>3.7287596672547253E-2</v>
      </c>
    </row>
    <row r="26" spans="1:21" ht="15" x14ac:dyDescent="0.2">
      <c r="A26" t="s">
        <v>95</v>
      </c>
      <c r="B26">
        <v>2</v>
      </c>
      <c r="C26">
        <v>22</v>
      </c>
      <c r="D26">
        <v>31</v>
      </c>
      <c r="E26">
        <f t="shared" si="0"/>
        <v>27.466666666666665</v>
      </c>
      <c r="F26" s="2"/>
      <c r="G26">
        <v>436091912.05400002</v>
      </c>
      <c r="H26">
        <v>8548815.9849999994</v>
      </c>
      <c r="I26">
        <v>367917297.82099998</v>
      </c>
      <c r="J26">
        <v>737932792.61600006</v>
      </c>
      <c r="K26">
        <v>38011504.348999999</v>
      </c>
      <c r="O26">
        <v>40992436.428999998</v>
      </c>
      <c r="Q26">
        <f t="shared" si="5"/>
        <v>1629494759.2539999</v>
      </c>
      <c r="S26">
        <f t="shared" si="6"/>
        <v>0.97484346838417157</v>
      </c>
      <c r="T26">
        <f t="shared" si="7"/>
        <v>0</v>
      </c>
      <c r="U26">
        <f t="shared" si="8"/>
        <v>2.5156531615828436E-2</v>
      </c>
    </row>
    <row r="27" spans="1:21" ht="15" x14ac:dyDescent="0.2">
      <c r="A27" t="s">
        <v>96</v>
      </c>
      <c r="B27">
        <v>3</v>
      </c>
      <c r="C27">
        <v>8</v>
      </c>
      <c r="D27">
        <v>22</v>
      </c>
      <c r="E27">
        <f t="shared" si="0"/>
        <v>37.31666666666667</v>
      </c>
      <c r="G27">
        <v>372630595.18099999</v>
      </c>
      <c r="H27">
        <v>7719674.2659999998</v>
      </c>
      <c r="I27">
        <v>472943902.898</v>
      </c>
      <c r="J27">
        <v>689330626.34599996</v>
      </c>
      <c r="K27">
        <v>33631668.836000003</v>
      </c>
      <c r="O27">
        <v>14412897.943</v>
      </c>
      <c r="Q27">
        <f t="shared" si="5"/>
        <v>1590669365.47</v>
      </c>
      <c r="S27">
        <f t="shared" si="6"/>
        <v>0.99093909881219</v>
      </c>
      <c r="T27">
        <f t="shared" si="7"/>
        <v>0</v>
      </c>
      <c r="U27">
        <f t="shared" si="8"/>
        <v>9.0609011878099357E-3</v>
      </c>
    </row>
    <row r="28" spans="1:21" ht="15" x14ac:dyDescent="0.2">
      <c r="A28" t="s">
        <v>97</v>
      </c>
      <c r="B28">
        <v>3</v>
      </c>
      <c r="C28">
        <v>17</v>
      </c>
      <c r="D28">
        <v>7</v>
      </c>
      <c r="E28">
        <f t="shared" si="0"/>
        <v>46.06666666666667</v>
      </c>
      <c r="G28">
        <v>341971712.41000003</v>
      </c>
      <c r="H28">
        <v>9124695.1490000002</v>
      </c>
      <c r="I28">
        <v>577951436.98099995</v>
      </c>
      <c r="J28">
        <v>682164413.97399998</v>
      </c>
      <c r="K28">
        <v>41142554.564999998</v>
      </c>
      <c r="O28">
        <v>5541595.4289999995</v>
      </c>
      <c r="Q28">
        <f t="shared" ref="Q28:Q29" si="9">SUM(G28:O28)</f>
        <v>1657896408.5079999</v>
      </c>
      <c r="S28">
        <f t="shared" ref="S28:S29" si="10">SUM(G28:K28)/Q28</f>
        <v>0.99665745374646963</v>
      </c>
      <c r="T28">
        <f t="shared" ref="T28:T29" si="11">SUM(M28/Q28)</f>
        <v>0</v>
      </c>
      <c r="U28">
        <f t="shared" ref="U28:U29" si="12">O28/Q28</f>
        <v>3.3425462535304476E-3</v>
      </c>
    </row>
    <row r="29" spans="1:21" ht="15" x14ac:dyDescent="0.2">
      <c r="A29" t="s">
        <v>98</v>
      </c>
      <c r="B29">
        <v>4</v>
      </c>
      <c r="C29">
        <v>8</v>
      </c>
      <c r="D29">
        <v>44</v>
      </c>
      <c r="E29">
        <f t="shared" si="0"/>
        <v>61.68333333333333</v>
      </c>
      <c r="G29">
        <v>254097910.05500001</v>
      </c>
      <c r="H29">
        <v>7773691.2949999999</v>
      </c>
      <c r="I29">
        <v>618805573.57599998</v>
      </c>
      <c r="J29">
        <v>564443045.42299998</v>
      </c>
      <c r="K29">
        <v>36669934.722999997</v>
      </c>
      <c r="O29">
        <v>953877.28799999994</v>
      </c>
      <c r="Q29">
        <f t="shared" si="9"/>
        <v>1482744032.3600001</v>
      </c>
      <c r="S29">
        <f t="shared" si="10"/>
        <v>0.9993566810810347</v>
      </c>
      <c r="T29">
        <f t="shared" si="11"/>
        <v>0</v>
      </c>
      <c r="U29">
        <f t="shared" si="12"/>
        <v>6.4331891896524259E-4</v>
      </c>
    </row>
    <row r="34" spans="1:25" ht="15" x14ac:dyDescent="0.2">
      <c r="R34">
        <v>691.31119999999999</v>
      </c>
      <c r="S34">
        <v>703.31119999999999</v>
      </c>
      <c r="T34">
        <v>843.32209999999998</v>
      </c>
      <c r="U34">
        <v>891.32550000000003</v>
      </c>
      <c r="V34">
        <v>716.31849999999997</v>
      </c>
      <c r="X34">
        <v>1091.3398</v>
      </c>
      <c r="Y34">
        <v>775.06590000000006</v>
      </c>
    </row>
    <row r="35" spans="1:25" ht="15" x14ac:dyDescent="0.2">
      <c r="P35">
        <v>1</v>
      </c>
      <c r="Q35">
        <v>737.98860000000002</v>
      </c>
      <c r="R35">
        <f>Q35-R34</f>
        <v>46.677400000000034</v>
      </c>
      <c r="S35">
        <f>Q35-S34</f>
        <v>34.677400000000034</v>
      </c>
      <c r="T35">
        <f>T34-Q35</f>
        <v>105.33349999999996</v>
      </c>
      <c r="U35">
        <f>U34-Q35</f>
        <v>153.33690000000001</v>
      </c>
      <c r="V35">
        <f>Q35-V34</f>
        <v>21.670100000000048</v>
      </c>
      <c r="W35">
        <f>Q35-206.0592</f>
        <v>531.92939999999999</v>
      </c>
      <c r="X35">
        <f>X34-Q35</f>
        <v>353.35119999999995</v>
      </c>
      <c r="Y35">
        <f>Y34-Q35</f>
        <v>37.077300000000037</v>
      </c>
    </row>
    <row r="36" spans="1:25" ht="15" x14ac:dyDescent="0.2">
      <c r="O36" t="s">
        <v>99</v>
      </c>
      <c r="P36">
        <v>1</v>
      </c>
      <c r="Q36">
        <v>743.12860000000001</v>
      </c>
      <c r="R36">
        <f>Q36-R34</f>
        <v>51.817400000000021</v>
      </c>
      <c r="S36">
        <f>Q36-S34</f>
        <v>39.817400000000021</v>
      </c>
      <c r="T36">
        <f>T34-Q36</f>
        <v>100.19349999999997</v>
      </c>
      <c r="U36">
        <f>U34-Q36</f>
        <v>148.19690000000003</v>
      </c>
      <c r="V36">
        <f>Q36-V34</f>
        <v>26.810100000000034</v>
      </c>
      <c r="W36">
        <f>Q36-206.0592</f>
        <v>537.06939999999997</v>
      </c>
      <c r="X36">
        <f>X34-Q36</f>
        <v>348.21119999999996</v>
      </c>
      <c r="Y36">
        <f>Y34-Q36</f>
        <v>31.93730000000005</v>
      </c>
    </row>
    <row r="37" spans="1:25" ht="15" x14ac:dyDescent="0.2">
      <c r="R37">
        <f>Q36-Q35</f>
        <v>5.1399999999999864</v>
      </c>
    </row>
    <row r="39" spans="1:25" ht="16.05" x14ac:dyDescent="0.2">
      <c r="A39" s="3"/>
      <c r="B39" s="3"/>
      <c r="C39" s="3"/>
      <c r="D39" s="3"/>
      <c r="E39" s="3"/>
      <c r="F39" s="3"/>
      <c r="G39" s="3" t="s">
        <v>69</v>
      </c>
      <c r="H39" s="3"/>
      <c r="I39" t="s">
        <v>72</v>
      </c>
      <c r="J39" t="s">
        <v>11</v>
      </c>
      <c r="K39" s="3" t="s">
        <v>11</v>
      </c>
      <c r="M39" t="s">
        <v>2</v>
      </c>
      <c r="O39" s="3" t="s">
        <v>73</v>
      </c>
    </row>
    <row r="40" spans="1:25" ht="16.05" x14ac:dyDescent="0.2">
      <c r="A40" s="3"/>
      <c r="B40" s="3"/>
      <c r="C40" s="3"/>
      <c r="D40" s="3"/>
      <c r="E40" s="3" t="s">
        <v>70</v>
      </c>
      <c r="F40" s="3"/>
      <c r="G40" s="3">
        <v>2</v>
      </c>
      <c r="H40" s="3">
        <v>1</v>
      </c>
      <c r="I40">
        <v>2</v>
      </c>
      <c r="J40" s="3">
        <v>2</v>
      </c>
      <c r="K40" s="3">
        <v>1</v>
      </c>
      <c r="M40" s="3">
        <v>1</v>
      </c>
      <c r="O40" s="3">
        <v>1</v>
      </c>
    </row>
    <row r="41" spans="1:25" ht="16.05" x14ac:dyDescent="0.2">
      <c r="A41" s="3" t="s">
        <v>71</v>
      </c>
      <c r="B41" s="3" t="s">
        <v>75</v>
      </c>
      <c r="C41" s="3" t="s">
        <v>15</v>
      </c>
      <c r="D41" s="3" t="s">
        <v>16</v>
      </c>
      <c r="E41" s="3" t="s">
        <v>10</v>
      </c>
      <c r="F41" s="3"/>
      <c r="G41" s="3">
        <v>346.66289999999998</v>
      </c>
      <c r="H41" s="3">
        <v>692.31849999999997</v>
      </c>
      <c r="I41">
        <v>367.17630000000003</v>
      </c>
      <c r="J41" s="1">
        <v>352.66289999999998</v>
      </c>
      <c r="K41" s="3">
        <v>704.31799999999998</v>
      </c>
      <c r="M41" s="3">
        <v>892.33280000000002</v>
      </c>
      <c r="O41" s="4">
        <v>844.32452999999998</v>
      </c>
      <c r="Q41" t="s">
        <v>0</v>
      </c>
      <c r="S41" t="s">
        <v>1</v>
      </c>
      <c r="T41" t="s">
        <v>2</v>
      </c>
      <c r="U41" t="s">
        <v>3</v>
      </c>
    </row>
    <row r="42" spans="1:25" ht="16.05" x14ac:dyDescent="0.2">
      <c r="A42" s="3"/>
      <c r="B42" s="3">
        <v>1</v>
      </c>
      <c r="C42" s="3">
        <v>19</v>
      </c>
      <c r="D42" s="3">
        <v>7</v>
      </c>
      <c r="E42" s="3">
        <v>0</v>
      </c>
      <c r="F42" s="3"/>
      <c r="G42" s="3"/>
      <c r="H42" s="3"/>
      <c r="J42" s="1"/>
      <c r="K42" s="3"/>
      <c r="M42" s="3"/>
      <c r="O42" s="4"/>
      <c r="S42">
        <v>1</v>
      </c>
      <c r="T42">
        <v>0</v>
      </c>
      <c r="U42">
        <v>0</v>
      </c>
    </row>
    <row r="43" spans="1:25" x14ac:dyDescent="0.45">
      <c r="A43" t="s">
        <v>169</v>
      </c>
      <c r="B43">
        <v>1</v>
      </c>
      <c r="C43">
        <v>19</v>
      </c>
      <c r="D43">
        <v>11</v>
      </c>
      <c r="E43">
        <f>(B43-$B$42)*24+(C43-$C$42)+(D43-$D$42)/60</f>
        <v>6.6666666666666666E-2</v>
      </c>
      <c r="G43">
        <v>1507392894.7490001</v>
      </c>
      <c r="H43">
        <v>42051579.685999997</v>
      </c>
      <c r="I43">
        <v>4779759.2039999999</v>
      </c>
      <c r="J43">
        <v>31862511.088</v>
      </c>
      <c r="K43">
        <v>2421418.5550000002</v>
      </c>
      <c r="M43">
        <v>3818601.92</v>
      </c>
      <c r="O43">
        <v>29998865.846999999</v>
      </c>
      <c r="Q43">
        <f>SUM(G43:O43)</f>
        <v>1622325631.0490003</v>
      </c>
      <c r="S43">
        <f>SUM(G43:K43)/Q43</f>
        <v>0.97915494453161445</v>
      </c>
      <c r="T43">
        <f>SUM(M43/Q43)</f>
        <v>2.3537826481425197E-3</v>
      </c>
      <c r="U43">
        <f>O43/Q43</f>
        <v>1.8491272820243029E-2</v>
      </c>
    </row>
    <row r="44" spans="1:25" x14ac:dyDescent="0.45">
      <c r="A44" t="s">
        <v>170</v>
      </c>
      <c r="B44">
        <v>1</v>
      </c>
      <c r="C44">
        <v>19</v>
      </c>
      <c r="D44">
        <v>47</v>
      </c>
      <c r="E44">
        <f>(B44-$B$42)*24+(C44-$C$42)+(D44-$D$42)/60</f>
        <v>0.66666666666666663</v>
      </c>
      <c r="G44">
        <v>886676684.36099994</v>
      </c>
      <c r="H44">
        <v>20503348.307</v>
      </c>
      <c r="I44">
        <v>9876995.7239999995</v>
      </c>
      <c r="J44">
        <v>146682549.38299999</v>
      </c>
      <c r="K44">
        <v>8078442.3219999997</v>
      </c>
      <c r="M44">
        <v>4208233.9309999999</v>
      </c>
      <c r="O44">
        <v>281174368.31</v>
      </c>
      <c r="Q44">
        <f t="shared" ref="Q44:Q67" si="13">SUM(G44:O44)</f>
        <v>1357200622.3380001</v>
      </c>
      <c r="S44">
        <f t="shared" ref="S44:S67" si="14">SUM(G44:K44)/Q44</f>
        <v>0.78972703258168142</v>
      </c>
      <c r="T44">
        <f t="shared" ref="T44:T67" si="15">SUM(M44/Q44)</f>
        <v>3.1006719726893645E-3</v>
      </c>
      <c r="U44">
        <f t="shared" ref="U44:U67" si="16">O44/Q44</f>
        <v>0.20717229544562923</v>
      </c>
    </row>
    <row r="45" spans="1:25" x14ac:dyDescent="0.45">
      <c r="A45" t="s">
        <v>171</v>
      </c>
      <c r="B45">
        <v>1</v>
      </c>
      <c r="C45">
        <v>20</v>
      </c>
      <c r="D45">
        <v>24</v>
      </c>
      <c r="E45">
        <f t="shared" ref="E45:E67" si="17">(B45-$B$42)*24+(C45-$C$42)+(D45-$D$42)/60</f>
        <v>1.2833333333333332</v>
      </c>
      <c r="G45">
        <v>689518029.63399994</v>
      </c>
      <c r="H45">
        <v>13762389.755000001</v>
      </c>
      <c r="I45">
        <v>14025233.892999999</v>
      </c>
      <c r="J45">
        <v>193845614.20100001</v>
      </c>
      <c r="K45">
        <v>9452601.7620000001</v>
      </c>
      <c r="M45">
        <v>4852679.8789999997</v>
      </c>
      <c r="O45">
        <v>313919332.91299999</v>
      </c>
      <c r="Q45">
        <f t="shared" si="13"/>
        <v>1239375882.0369997</v>
      </c>
      <c r="S45">
        <f t="shared" si="14"/>
        <v>0.74279634014817519</v>
      </c>
      <c r="T45">
        <f t="shared" si="15"/>
        <v>3.9154222293113251E-3</v>
      </c>
      <c r="U45">
        <f t="shared" si="16"/>
        <v>0.25328823762251362</v>
      </c>
    </row>
    <row r="46" spans="1:25" x14ac:dyDescent="0.45">
      <c r="A46" t="s">
        <v>172</v>
      </c>
      <c r="B46">
        <v>1</v>
      </c>
      <c r="C46">
        <v>21</v>
      </c>
      <c r="D46">
        <v>0</v>
      </c>
      <c r="E46">
        <f t="shared" si="17"/>
        <v>1.8833333333333333</v>
      </c>
      <c r="G46">
        <v>662720892.95799994</v>
      </c>
      <c r="H46">
        <v>13168877.380999999</v>
      </c>
      <c r="I46">
        <v>19794831.566</v>
      </c>
      <c r="J46">
        <v>234070181.868</v>
      </c>
      <c r="K46">
        <v>12198433.018999999</v>
      </c>
      <c r="M46">
        <v>4134762.4470000002</v>
      </c>
      <c r="O46">
        <v>313829007.958</v>
      </c>
      <c r="Q46">
        <f t="shared" si="13"/>
        <v>1259916987.197</v>
      </c>
      <c r="S46">
        <f t="shared" si="14"/>
        <v>0.74763117440587112</v>
      </c>
      <c r="T46">
        <f t="shared" si="15"/>
        <v>3.281773711297291E-3</v>
      </c>
      <c r="U46">
        <f t="shared" si="16"/>
        <v>0.24908705188283159</v>
      </c>
    </row>
    <row r="47" spans="1:25" x14ac:dyDescent="0.45">
      <c r="A47" t="s">
        <v>173</v>
      </c>
      <c r="B47">
        <v>1</v>
      </c>
      <c r="C47">
        <v>21</v>
      </c>
      <c r="D47">
        <v>37</v>
      </c>
      <c r="E47">
        <f t="shared" si="17"/>
        <v>2.5</v>
      </c>
      <c r="G47">
        <v>638197732.36800003</v>
      </c>
      <c r="H47">
        <v>13027137.914000001</v>
      </c>
      <c r="I47">
        <v>26459708.557</v>
      </c>
      <c r="J47">
        <v>279307073.829</v>
      </c>
      <c r="K47">
        <v>13896314.432</v>
      </c>
      <c r="M47">
        <v>3883577.5129999998</v>
      </c>
      <c r="O47">
        <v>315355464.94199997</v>
      </c>
      <c r="Q47">
        <f t="shared" si="13"/>
        <v>1290127009.5550001</v>
      </c>
      <c r="S47">
        <f t="shared" si="14"/>
        <v>0.75255223703508523</v>
      </c>
      <c r="T47">
        <f t="shared" si="15"/>
        <v>3.0102288257181373E-3</v>
      </c>
      <c r="U47">
        <f t="shared" si="16"/>
        <v>0.24443753413919661</v>
      </c>
    </row>
    <row r="48" spans="1:25" x14ac:dyDescent="0.45">
      <c r="A48" t="s">
        <v>174</v>
      </c>
      <c r="B48">
        <v>1</v>
      </c>
      <c r="C48">
        <v>22</v>
      </c>
      <c r="D48">
        <v>13</v>
      </c>
      <c r="E48">
        <f>(B48-$B$42)*24+(C48-$C$42)+(D48-$D$42)/60</f>
        <v>3.1</v>
      </c>
      <c r="G48">
        <v>608911804.61899996</v>
      </c>
      <c r="H48">
        <v>12187336.655999999</v>
      </c>
      <c r="I48">
        <v>33227257.186999999</v>
      </c>
      <c r="J48">
        <v>312167993.88999999</v>
      </c>
      <c r="K48">
        <v>15434671.035</v>
      </c>
      <c r="M48">
        <v>3790974.4440000001</v>
      </c>
      <c r="O48">
        <v>311761966.71200001</v>
      </c>
      <c r="Q48">
        <f t="shared" si="13"/>
        <v>1297482004.543</v>
      </c>
      <c r="S48">
        <f t="shared" si="14"/>
        <v>0.75679590156077403</v>
      </c>
      <c r="T48">
        <f t="shared" si="15"/>
        <v>2.921793466673366E-3</v>
      </c>
      <c r="U48">
        <f t="shared" si="16"/>
        <v>0.2402823049725526</v>
      </c>
    </row>
    <row r="49" spans="1:21" x14ac:dyDescent="0.45">
      <c r="A49" t="s">
        <v>175</v>
      </c>
      <c r="B49">
        <v>1</v>
      </c>
      <c r="C49">
        <v>22</v>
      </c>
      <c r="D49">
        <v>49</v>
      </c>
      <c r="E49">
        <f t="shared" si="17"/>
        <v>3.7</v>
      </c>
      <c r="G49">
        <v>589232690.31400001</v>
      </c>
      <c r="H49">
        <v>11263632.612</v>
      </c>
      <c r="I49">
        <v>38817792.197999999</v>
      </c>
      <c r="J49">
        <v>338719053.42799997</v>
      </c>
      <c r="K49">
        <v>16892225.355999999</v>
      </c>
      <c r="M49">
        <v>3276260.4139999999</v>
      </c>
      <c r="O49">
        <v>317394981.07099998</v>
      </c>
      <c r="Q49">
        <f t="shared" si="13"/>
        <v>1315596635.3929999</v>
      </c>
      <c r="S49">
        <f t="shared" si="14"/>
        <v>0.75625413378378858</v>
      </c>
      <c r="T49">
        <f t="shared" si="15"/>
        <v>2.4903228891439838E-3</v>
      </c>
      <c r="U49">
        <f t="shared" si="16"/>
        <v>0.24125554332706739</v>
      </c>
    </row>
    <row r="50" spans="1:21" x14ac:dyDescent="0.45">
      <c r="A50" t="s">
        <v>176</v>
      </c>
      <c r="B50">
        <v>1</v>
      </c>
      <c r="C50">
        <v>23</v>
      </c>
      <c r="D50">
        <v>26</v>
      </c>
      <c r="E50">
        <f t="shared" si="17"/>
        <v>4.3166666666666664</v>
      </c>
      <c r="G50">
        <v>576332219.78299999</v>
      </c>
      <c r="H50">
        <v>10856841.375</v>
      </c>
      <c r="I50">
        <v>48489203.777000003</v>
      </c>
      <c r="J50">
        <v>370979885.93400002</v>
      </c>
      <c r="K50">
        <v>18559881.945999999</v>
      </c>
      <c r="M50">
        <v>3123741.31</v>
      </c>
      <c r="O50">
        <v>292721235.62199998</v>
      </c>
      <c r="Q50">
        <f t="shared" si="13"/>
        <v>1321063009.7469997</v>
      </c>
      <c r="S50">
        <f t="shared" si="14"/>
        <v>0.77605536242464479</v>
      </c>
      <c r="T50">
        <f t="shared" si="15"/>
        <v>2.3645664793825664E-3</v>
      </c>
      <c r="U50">
        <f t="shared" si="16"/>
        <v>0.22158007109597277</v>
      </c>
    </row>
    <row r="51" spans="1:21" x14ac:dyDescent="0.45">
      <c r="A51" t="s">
        <v>177</v>
      </c>
      <c r="B51">
        <v>2</v>
      </c>
      <c r="C51">
        <v>0</v>
      </c>
      <c r="D51">
        <v>2</v>
      </c>
      <c r="E51">
        <f t="shared" si="17"/>
        <v>4.916666666666667</v>
      </c>
      <c r="G51">
        <v>561614231.10300004</v>
      </c>
      <c r="H51">
        <v>9600688.3479999993</v>
      </c>
      <c r="I51">
        <v>52975264.706</v>
      </c>
      <c r="J51">
        <v>393729281.45999998</v>
      </c>
      <c r="K51">
        <v>18374034.408</v>
      </c>
      <c r="M51">
        <v>2623658.9360000002</v>
      </c>
      <c r="O51">
        <v>271812249.63200003</v>
      </c>
      <c r="Q51">
        <f t="shared" si="13"/>
        <v>1310729408.5930002</v>
      </c>
      <c r="S51">
        <f t="shared" si="14"/>
        <v>0.79062352094274535</v>
      </c>
      <c r="T51">
        <f t="shared" si="15"/>
        <v>2.0016785453958507E-3</v>
      </c>
      <c r="U51">
        <f t="shared" si="16"/>
        <v>0.20737480051185878</v>
      </c>
    </row>
    <row r="52" spans="1:21" x14ac:dyDescent="0.45">
      <c r="A52" t="s">
        <v>178</v>
      </c>
      <c r="B52">
        <v>2</v>
      </c>
      <c r="C52">
        <v>0</v>
      </c>
      <c r="D52">
        <v>38</v>
      </c>
      <c r="E52">
        <f t="shared" si="17"/>
        <v>5.5166666666666666</v>
      </c>
      <c r="G52">
        <v>570210589.097</v>
      </c>
      <c r="H52">
        <v>10903319.994999999</v>
      </c>
      <c r="I52">
        <v>65491415.340999998</v>
      </c>
      <c r="J52">
        <v>429783460.34100002</v>
      </c>
      <c r="K52">
        <v>20965746.372000001</v>
      </c>
      <c r="M52">
        <v>2468144.23</v>
      </c>
      <c r="O52">
        <v>276756226.79000002</v>
      </c>
      <c r="Q52">
        <f t="shared" si="13"/>
        <v>1376578902.1659999</v>
      </c>
      <c r="S52">
        <f t="shared" si="14"/>
        <v>0.79716064906947948</v>
      </c>
      <c r="T52">
        <f t="shared" si="15"/>
        <v>1.7929551485326844E-3</v>
      </c>
      <c r="U52">
        <f t="shared" si="16"/>
        <v>0.20104639578198791</v>
      </c>
    </row>
    <row r="53" spans="1:21" x14ac:dyDescent="0.45">
      <c r="A53" t="s">
        <v>179</v>
      </c>
      <c r="B53">
        <v>2</v>
      </c>
      <c r="C53">
        <v>1</v>
      </c>
      <c r="D53">
        <v>15</v>
      </c>
      <c r="E53">
        <f t="shared" si="17"/>
        <v>6.1333333333333337</v>
      </c>
      <c r="G53">
        <v>547933364.36899996</v>
      </c>
      <c r="H53">
        <v>9748650.557</v>
      </c>
      <c r="I53">
        <v>72484053.077000007</v>
      </c>
      <c r="J53">
        <v>446327424.20499998</v>
      </c>
      <c r="K53">
        <v>21169064.454</v>
      </c>
      <c r="M53">
        <v>2307567.1830000002</v>
      </c>
      <c r="O53">
        <v>257099135.91999999</v>
      </c>
      <c r="Q53">
        <f t="shared" si="13"/>
        <v>1357069259.7650001</v>
      </c>
      <c r="S53">
        <f t="shared" si="14"/>
        <v>0.80884785265276671</v>
      </c>
      <c r="T53">
        <f t="shared" si="15"/>
        <v>1.7004048735136739E-3</v>
      </c>
      <c r="U53">
        <f t="shared" si="16"/>
        <v>0.18945174247371951</v>
      </c>
    </row>
    <row r="54" spans="1:21" x14ac:dyDescent="0.45">
      <c r="A54" t="s">
        <v>180</v>
      </c>
      <c r="B54">
        <v>2</v>
      </c>
      <c r="C54">
        <v>1</v>
      </c>
      <c r="D54">
        <v>51</v>
      </c>
      <c r="E54">
        <f t="shared" si="17"/>
        <v>6.7333333333333334</v>
      </c>
      <c r="G54">
        <v>548666064.84599996</v>
      </c>
      <c r="H54">
        <v>9941994.3790000007</v>
      </c>
      <c r="I54">
        <v>81463502.060000002</v>
      </c>
      <c r="J54">
        <v>468439571.55900002</v>
      </c>
      <c r="K54">
        <v>22287614.868000001</v>
      </c>
      <c r="M54">
        <v>2363224.3229999999</v>
      </c>
      <c r="O54">
        <v>273154461.39899999</v>
      </c>
      <c r="Q54">
        <f t="shared" si="13"/>
        <v>1406316433.4339998</v>
      </c>
      <c r="S54">
        <f t="shared" si="14"/>
        <v>0.80408556767751782</v>
      </c>
      <c r="T54">
        <f t="shared" si="15"/>
        <v>1.6804356877416159E-3</v>
      </c>
      <c r="U54">
        <f t="shared" si="16"/>
        <v>0.19423399663474064</v>
      </c>
    </row>
    <row r="55" spans="1:21" x14ac:dyDescent="0.45">
      <c r="A55" t="s">
        <v>181</v>
      </c>
      <c r="B55">
        <v>2</v>
      </c>
      <c r="C55">
        <v>2</v>
      </c>
      <c r="D55">
        <v>27</v>
      </c>
      <c r="E55">
        <f t="shared" si="17"/>
        <v>7.333333333333333</v>
      </c>
      <c r="G55">
        <v>534200444.42900002</v>
      </c>
      <c r="H55">
        <v>9642169.6219999995</v>
      </c>
      <c r="I55">
        <v>89139642.864999995</v>
      </c>
      <c r="J55">
        <v>478053494.93599999</v>
      </c>
      <c r="K55">
        <v>24041121.934999999</v>
      </c>
      <c r="M55">
        <v>1833662.1839999999</v>
      </c>
      <c r="O55">
        <v>247721065.44</v>
      </c>
      <c r="Q55">
        <f t="shared" si="13"/>
        <v>1384631601.411</v>
      </c>
      <c r="S55">
        <f t="shared" si="14"/>
        <v>0.81976814094832673</v>
      </c>
      <c r="T55">
        <f t="shared" si="15"/>
        <v>1.3242960670054173E-3</v>
      </c>
      <c r="U55">
        <f t="shared" si="16"/>
        <v>0.17890756298466784</v>
      </c>
    </row>
    <row r="56" spans="1:21" x14ac:dyDescent="0.45">
      <c r="A56" t="s">
        <v>182</v>
      </c>
      <c r="B56">
        <v>2</v>
      </c>
      <c r="C56">
        <v>3</v>
      </c>
      <c r="D56">
        <v>4</v>
      </c>
      <c r="E56">
        <f t="shared" si="17"/>
        <v>7.95</v>
      </c>
      <c r="G56">
        <v>544428081.55700004</v>
      </c>
      <c r="H56">
        <v>9975518.5150000006</v>
      </c>
      <c r="I56">
        <v>99506390.513999999</v>
      </c>
      <c r="J56">
        <v>506222958.05699998</v>
      </c>
      <c r="K56">
        <v>23047823.581</v>
      </c>
      <c r="M56">
        <v>1691073.588</v>
      </c>
      <c r="O56">
        <v>245828708.785</v>
      </c>
      <c r="Q56">
        <f t="shared" si="13"/>
        <v>1430700554.5970001</v>
      </c>
      <c r="S56">
        <f t="shared" si="14"/>
        <v>0.82699399844524313</v>
      </c>
      <c r="T56">
        <f t="shared" si="15"/>
        <v>1.1819898877975495E-3</v>
      </c>
      <c r="U56">
        <f t="shared" si="16"/>
        <v>0.17182401166695924</v>
      </c>
    </row>
    <row r="57" spans="1:21" x14ac:dyDescent="0.45">
      <c r="A57" t="s">
        <v>183</v>
      </c>
      <c r="B57">
        <v>2</v>
      </c>
      <c r="C57">
        <v>4</v>
      </c>
      <c r="D57">
        <v>6</v>
      </c>
      <c r="E57">
        <f t="shared" si="17"/>
        <v>8.9833333333333325</v>
      </c>
      <c r="G57">
        <v>524748393.02899998</v>
      </c>
      <c r="H57">
        <v>9628693.6469999999</v>
      </c>
      <c r="I57">
        <v>113538590.99600001</v>
      </c>
      <c r="J57">
        <v>523686184.20099998</v>
      </c>
      <c r="K57">
        <v>23909835.561000001</v>
      </c>
      <c r="M57">
        <v>1475580.08</v>
      </c>
      <c r="O57">
        <v>220458131.09599999</v>
      </c>
      <c r="Q57">
        <f t="shared" si="13"/>
        <v>1417445408.6100001</v>
      </c>
      <c r="S57">
        <f t="shared" si="14"/>
        <v>0.84342697797890054</v>
      </c>
      <c r="T57">
        <f t="shared" si="15"/>
        <v>1.0410136933929673E-3</v>
      </c>
      <c r="U57">
        <f t="shared" si="16"/>
        <v>0.15553200832770658</v>
      </c>
    </row>
    <row r="58" spans="1:21" x14ac:dyDescent="0.45">
      <c r="A58" t="s">
        <v>184</v>
      </c>
      <c r="B58">
        <v>2</v>
      </c>
      <c r="C58">
        <v>5</v>
      </c>
      <c r="D58">
        <v>9</v>
      </c>
      <c r="E58">
        <f t="shared" si="17"/>
        <v>10.033333333333333</v>
      </c>
      <c r="G58">
        <v>514230257.05500001</v>
      </c>
      <c r="H58">
        <v>9060362.3839999996</v>
      </c>
      <c r="I58">
        <v>128391775.741</v>
      </c>
      <c r="J58">
        <v>548987002.005</v>
      </c>
      <c r="K58">
        <v>24338201.405999999</v>
      </c>
      <c r="M58">
        <v>1253841.4210000001</v>
      </c>
      <c r="O58">
        <v>204628328.16100001</v>
      </c>
      <c r="Q58">
        <f t="shared" si="13"/>
        <v>1430889768.1729999</v>
      </c>
      <c r="S58">
        <f t="shared" si="14"/>
        <v>0.85611598170495262</v>
      </c>
      <c r="T58">
        <f t="shared" si="15"/>
        <v>8.7626695563064927E-4</v>
      </c>
      <c r="U58">
        <f t="shared" si="16"/>
        <v>0.14300775133941673</v>
      </c>
    </row>
    <row r="59" spans="1:21" x14ac:dyDescent="0.45">
      <c r="A59" t="s">
        <v>185</v>
      </c>
      <c r="B59">
        <v>2</v>
      </c>
      <c r="C59">
        <v>6</v>
      </c>
      <c r="D59">
        <v>11</v>
      </c>
      <c r="E59">
        <f t="shared" si="17"/>
        <v>11.066666666666666</v>
      </c>
      <c r="G59">
        <v>500993309.61000001</v>
      </c>
      <c r="H59">
        <v>9151034.4330000002</v>
      </c>
      <c r="I59">
        <v>136561998.68099999</v>
      </c>
      <c r="J59">
        <v>543588222.47800004</v>
      </c>
      <c r="K59">
        <v>23552093.747000001</v>
      </c>
      <c r="M59">
        <v>943570.83900000004</v>
      </c>
      <c r="O59">
        <v>184691585.70100001</v>
      </c>
      <c r="Q59">
        <f t="shared" si="13"/>
        <v>1399481815.4890001</v>
      </c>
      <c r="S59">
        <f t="shared" si="14"/>
        <v>0.86735436324684489</v>
      </c>
      <c r="T59">
        <f t="shared" si="15"/>
        <v>6.7422872420125173E-4</v>
      </c>
      <c r="U59">
        <f t="shared" si="16"/>
        <v>0.13197140802895391</v>
      </c>
    </row>
    <row r="60" spans="1:21" x14ac:dyDescent="0.45">
      <c r="A60" t="s">
        <v>186</v>
      </c>
      <c r="B60">
        <v>2</v>
      </c>
      <c r="C60">
        <v>7</v>
      </c>
      <c r="D60">
        <v>14</v>
      </c>
      <c r="E60">
        <f t="shared" si="17"/>
        <v>12.116666666666667</v>
      </c>
      <c r="G60">
        <v>474291947.31300002</v>
      </c>
      <c r="H60">
        <v>8558233.5409999993</v>
      </c>
      <c r="I60">
        <v>145123260.10499999</v>
      </c>
      <c r="J60">
        <v>543131298.86500001</v>
      </c>
      <c r="K60">
        <v>20060935.645</v>
      </c>
      <c r="M60">
        <v>792106.84499999997</v>
      </c>
      <c r="O60">
        <v>159560023.176</v>
      </c>
      <c r="Q60">
        <f t="shared" si="13"/>
        <v>1351517805.4899998</v>
      </c>
      <c r="S60">
        <f t="shared" si="14"/>
        <v>0.88135403812688695</v>
      </c>
      <c r="T60">
        <f t="shared" si="15"/>
        <v>5.8608687342658983E-4</v>
      </c>
      <c r="U60">
        <f t="shared" si="16"/>
        <v>0.11805987499968651</v>
      </c>
    </row>
    <row r="61" spans="1:21" x14ac:dyDescent="0.45">
      <c r="A61" t="s">
        <v>187</v>
      </c>
      <c r="B61">
        <v>2</v>
      </c>
      <c r="C61">
        <v>8</v>
      </c>
      <c r="D61">
        <v>16</v>
      </c>
      <c r="E61">
        <f t="shared" si="17"/>
        <v>13.15</v>
      </c>
      <c r="G61">
        <v>471211569.852</v>
      </c>
      <c r="H61">
        <v>8549886.8489999995</v>
      </c>
      <c r="I61">
        <v>162517547.60299999</v>
      </c>
      <c r="J61">
        <v>560512185.84800005</v>
      </c>
      <c r="K61">
        <v>21467441.151999999</v>
      </c>
      <c r="M61">
        <v>608923.58700000006</v>
      </c>
      <c r="O61">
        <v>149331606.303</v>
      </c>
      <c r="Q61">
        <f t="shared" si="13"/>
        <v>1374199161.1939998</v>
      </c>
      <c r="S61">
        <f t="shared" si="14"/>
        <v>0.89088879245150965</v>
      </c>
      <c r="T61">
        <f t="shared" si="15"/>
        <v>4.4311159851889655E-4</v>
      </c>
      <c r="U61">
        <f t="shared" si="16"/>
        <v>0.10866809594997157</v>
      </c>
    </row>
    <row r="62" spans="1:21" x14ac:dyDescent="0.45">
      <c r="A62" t="s">
        <v>188</v>
      </c>
      <c r="B62">
        <v>2</v>
      </c>
      <c r="C62">
        <v>9</v>
      </c>
      <c r="D62">
        <v>19</v>
      </c>
      <c r="E62">
        <f t="shared" si="17"/>
        <v>14.2</v>
      </c>
      <c r="G62">
        <v>466901724.329</v>
      </c>
      <c r="H62">
        <v>8157180.568</v>
      </c>
      <c r="I62">
        <v>174717072.16600001</v>
      </c>
      <c r="J62">
        <v>576711547.56900001</v>
      </c>
      <c r="K62">
        <v>21757656.892999999</v>
      </c>
      <c r="M62">
        <v>545008.15300000005</v>
      </c>
      <c r="O62">
        <v>133416955.84999999</v>
      </c>
      <c r="Q62">
        <f t="shared" si="13"/>
        <v>1382207145.5279999</v>
      </c>
      <c r="S62">
        <f t="shared" si="14"/>
        <v>0.90308112323364753</v>
      </c>
      <c r="T62">
        <f t="shared" si="15"/>
        <v>3.943028038621579E-4</v>
      </c>
      <c r="U62">
        <f t="shared" si="16"/>
        <v>9.6524573962490284E-2</v>
      </c>
    </row>
    <row r="63" spans="1:21" x14ac:dyDescent="0.45">
      <c r="A63" t="s">
        <v>189</v>
      </c>
      <c r="B63">
        <v>2</v>
      </c>
      <c r="C63">
        <v>18</v>
      </c>
      <c r="D63">
        <v>45</v>
      </c>
      <c r="E63">
        <f t="shared" si="17"/>
        <v>23.633333333333333</v>
      </c>
      <c r="G63">
        <v>481560120.09899998</v>
      </c>
      <c r="H63">
        <v>9651950.4240000006</v>
      </c>
      <c r="I63">
        <v>343241816.62</v>
      </c>
      <c r="J63">
        <v>732969392.90799999</v>
      </c>
      <c r="K63">
        <v>39004817.912</v>
      </c>
      <c r="M63">
        <v>54511.368999999999</v>
      </c>
      <c r="O63">
        <v>70293215.775000006</v>
      </c>
      <c r="Q63">
        <f t="shared" si="13"/>
        <v>1676775825.1070001</v>
      </c>
      <c r="S63">
        <f t="shared" si="14"/>
        <v>0.95804583648532093</v>
      </c>
      <c r="T63">
        <f t="shared" si="15"/>
        <v>3.2509634373170581E-5</v>
      </c>
      <c r="U63">
        <f t="shared" si="16"/>
        <v>4.1921653880305908E-2</v>
      </c>
    </row>
    <row r="64" spans="1:21" x14ac:dyDescent="0.45">
      <c r="A64" t="s">
        <v>190</v>
      </c>
      <c r="B64">
        <v>2</v>
      </c>
      <c r="C64">
        <v>23</v>
      </c>
      <c r="D64">
        <v>36</v>
      </c>
      <c r="E64">
        <f t="shared" si="17"/>
        <v>28.483333333333334</v>
      </c>
      <c r="G64">
        <v>455421255.403</v>
      </c>
      <c r="H64">
        <v>9529800.6960000005</v>
      </c>
      <c r="I64">
        <v>389093829.74800003</v>
      </c>
      <c r="J64">
        <v>737904719.12100005</v>
      </c>
      <c r="K64">
        <v>38967038.427000001</v>
      </c>
      <c r="M64">
        <v>0</v>
      </c>
      <c r="O64">
        <v>47806675.340000004</v>
      </c>
      <c r="Q64">
        <f t="shared" si="13"/>
        <v>1678723318.7349999</v>
      </c>
      <c r="S64">
        <f t="shared" si="14"/>
        <v>0.97152200436697067</v>
      </c>
      <c r="T64">
        <f t="shared" si="15"/>
        <v>0</v>
      </c>
      <c r="U64">
        <f t="shared" si="16"/>
        <v>2.8477995633029433E-2</v>
      </c>
    </row>
    <row r="65" spans="1:21" x14ac:dyDescent="0.45">
      <c r="A65" t="s">
        <v>191</v>
      </c>
      <c r="B65">
        <v>3</v>
      </c>
      <c r="C65">
        <v>8</v>
      </c>
      <c r="D65">
        <v>27</v>
      </c>
      <c r="E65">
        <f t="shared" si="17"/>
        <v>37.333333333333336</v>
      </c>
      <c r="G65">
        <v>385466703.51999998</v>
      </c>
      <c r="H65">
        <v>8033426.2560000001</v>
      </c>
      <c r="I65">
        <v>494050964.15399998</v>
      </c>
      <c r="J65">
        <v>694456323.62</v>
      </c>
      <c r="K65">
        <v>34514444.170999996</v>
      </c>
      <c r="O65">
        <v>16516937.267000001</v>
      </c>
      <c r="Q65">
        <f t="shared" si="13"/>
        <v>1633038798.9879999</v>
      </c>
      <c r="S65">
        <f t="shared" si="14"/>
        <v>0.9898857655572938</v>
      </c>
      <c r="T65">
        <f t="shared" si="15"/>
        <v>0</v>
      </c>
      <c r="U65">
        <f t="shared" si="16"/>
        <v>1.0114234442706203E-2</v>
      </c>
    </row>
    <row r="66" spans="1:21" x14ac:dyDescent="0.45">
      <c r="A66" t="s">
        <v>192</v>
      </c>
      <c r="B66">
        <v>3</v>
      </c>
      <c r="C66">
        <v>17</v>
      </c>
      <c r="D66">
        <v>12</v>
      </c>
      <c r="E66">
        <f t="shared" si="17"/>
        <v>46.083333333333336</v>
      </c>
      <c r="G66">
        <v>321697579.13300002</v>
      </c>
      <c r="H66">
        <v>9027348.3340000007</v>
      </c>
      <c r="I66">
        <v>567260316.73000002</v>
      </c>
      <c r="J66">
        <v>638902340.02900004</v>
      </c>
      <c r="K66">
        <v>37315284.410999998</v>
      </c>
      <c r="O66">
        <v>6080286.4790000003</v>
      </c>
      <c r="Q66">
        <f t="shared" si="13"/>
        <v>1580283155.1160002</v>
      </c>
      <c r="S66">
        <f t="shared" si="14"/>
        <v>0.99615240695357932</v>
      </c>
      <c r="T66">
        <f t="shared" si="15"/>
        <v>0</v>
      </c>
      <c r="U66">
        <f t="shared" si="16"/>
        <v>3.8475930464206454E-3</v>
      </c>
    </row>
    <row r="67" spans="1:21" x14ac:dyDescent="0.45">
      <c r="A67" t="s">
        <v>193</v>
      </c>
      <c r="B67">
        <v>4</v>
      </c>
      <c r="C67">
        <v>8</v>
      </c>
      <c r="D67">
        <v>49</v>
      </c>
      <c r="E67">
        <f t="shared" si="17"/>
        <v>61.7</v>
      </c>
      <c r="G67">
        <v>250426407.95899999</v>
      </c>
      <c r="H67">
        <v>7266818.1670000004</v>
      </c>
      <c r="I67">
        <v>649726774.43900001</v>
      </c>
      <c r="J67">
        <v>550983653.49600005</v>
      </c>
      <c r="K67">
        <v>35362701.946000002</v>
      </c>
      <c r="O67">
        <v>1180275.33</v>
      </c>
      <c r="Q67">
        <f t="shared" si="13"/>
        <v>1494946631.3370001</v>
      </c>
      <c r="S67">
        <f t="shared" si="14"/>
        <v>0.99921048998990392</v>
      </c>
      <c r="T67">
        <f t="shared" si="15"/>
        <v>0</v>
      </c>
      <c r="U67">
        <f t="shared" si="16"/>
        <v>7.8951001009609626E-4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8"/>
  <sheetViews>
    <sheetView tabSelected="1" topLeftCell="A82" zoomScale="80" zoomScaleNormal="80" workbookViewId="0">
      <selection activeCell="O124" sqref="O124"/>
    </sheetView>
  </sheetViews>
  <sheetFormatPr defaultColWidth="10.6640625" defaultRowHeight="14.25" x14ac:dyDescent="0.45"/>
  <cols>
    <col min="12" max="12" width="10.796875" style="1"/>
    <col min="14" max="14" width="10.796875" style="1"/>
    <col min="16" max="16" width="10.796875" style="1"/>
    <col min="18" max="18" width="10.796875" style="1"/>
    <col min="21" max="21" width="10.796875" style="1"/>
    <col min="23" max="23" width="10.796875" style="1"/>
    <col min="25" max="25" width="10.796875" style="1"/>
  </cols>
  <sheetData>
    <row r="1" spans="1:26" ht="15" x14ac:dyDescent="0.2">
      <c r="B1" t="s">
        <v>196</v>
      </c>
      <c r="G1" t="s">
        <v>197</v>
      </c>
      <c r="L1" s="6" t="s">
        <v>195</v>
      </c>
      <c r="M1" s="7"/>
      <c r="N1" s="1" t="s">
        <v>203</v>
      </c>
      <c r="U1" s="1" t="s">
        <v>204</v>
      </c>
    </row>
    <row r="2" spans="1:26" ht="16.05" x14ac:dyDescent="0.2">
      <c r="A2" t="s">
        <v>194</v>
      </c>
      <c r="B2" s="5" t="s">
        <v>10</v>
      </c>
      <c r="C2" t="s">
        <v>1</v>
      </c>
      <c r="D2" t="s">
        <v>2</v>
      </c>
      <c r="E2" t="s">
        <v>3</v>
      </c>
      <c r="G2" s="5" t="s">
        <v>10</v>
      </c>
      <c r="H2" t="s">
        <v>1</v>
      </c>
      <c r="I2" t="s">
        <v>2</v>
      </c>
      <c r="J2" t="s">
        <v>3</v>
      </c>
      <c r="L2" s="6" t="s">
        <v>20</v>
      </c>
      <c r="M2" s="7" t="s">
        <v>198</v>
      </c>
      <c r="N2" s="1" t="s">
        <v>199</v>
      </c>
      <c r="O2" t="s">
        <v>200</v>
      </c>
      <c r="P2" s="1" t="s">
        <v>2</v>
      </c>
      <c r="Q2" t="s">
        <v>201</v>
      </c>
      <c r="R2" s="1" t="s">
        <v>3</v>
      </c>
      <c r="S2" t="s">
        <v>202</v>
      </c>
      <c r="U2" s="1" t="s">
        <v>199</v>
      </c>
      <c r="V2" t="s">
        <v>200</v>
      </c>
      <c r="W2" s="1" t="s">
        <v>2</v>
      </c>
      <c r="X2" t="s">
        <v>201</v>
      </c>
      <c r="Y2" s="1" t="s">
        <v>3</v>
      </c>
      <c r="Z2" t="s">
        <v>202</v>
      </c>
    </row>
    <row r="3" spans="1:26" ht="16.05" x14ac:dyDescent="0.2">
      <c r="B3" s="5">
        <v>0</v>
      </c>
      <c r="C3">
        <v>1</v>
      </c>
      <c r="D3">
        <v>0</v>
      </c>
      <c r="E3">
        <v>0</v>
      </c>
      <c r="G3" s="5">
        <v>0</v>
      </c>
      <c r="H3">
        <v>1</v>
      </c>
      <c r="I3">
        <v>0</v>
      </c>
      <c r="J3">
        <v>0</v>
      </c>
      <c r="L3" s="6">
        <f>AVERAGE(B3,G3)</f>
        <v>0</v>
      </c>
      <c r="M3" s="7">
        <f>_xlfn.STDEV.P(B3,G3)</f>
        <v>0</v>
      </c>
      <c r="N3" s="1">
        <f>AVERAGE(C3,H3)</f>
        <v>1</v>
      </c>
      <c r="O3">
        <f>_xlfn.STDEV.P(C3,H3)</f>
        <v>0</v>
      </c>
      <c r="P3" s="1">
        <f>AVERAGE(D3,I3)</f>
        <v>0</v>
      </c>
      <c r="Q3">
        <f>_xlfn.STDEV.P(D3,I3)</f>
        <v>0</v>
      </c>
      <c r="R3" s="1">
        <f>AVERAGE(E3,J3)</f>
        <v>0</v>
      </c>
      <c r="S3">
        <f>_xlfn.STDEV.P(E3,J3)</f>
        <v>0</v>
      </c>
      <c r="U3" s="1">
        <f>0.1*N3</f>
        <v>0.1</v>
      </c>
      <c r="V3">
        <f t="shared" ref="V3:Z3" si="0">0.1*O3</f>
        <v>0</v>
      </c>
      <c r="W3" s="1">
        <f t="shared" si="0"/>
        <v>0</v>
      </c>
      <c r="X3">
        <f t="shared" si="0"/>
        <v>0</v>
      </c>
      <c r="Y3" s="1">
        <f t="shared" si="0"/>
        <v>0</v>
      </c>
      <c r="Z3">
        <f t="shared" si="0"/>
        <v>0</v>
      </c>
    </row>
    <row r="4" spans="1:26" ht="15" x14ac:dyDescent="0.2">
      <c r="B4">
        <v>3.3333333333333333E-2</v>
      </c>
      <c r="C4">
        <v>0.98936575815017147</v>
      </c>
      <c r="D4">
        <v>2.2237553623882292E-3</v>
      </c>
      <c r="E4">
        <v>8.4104864874403606E-3</v>
      </c>
      <c r="G4">
        <v>6.6666666666666666E-2</v>
      </c>
      <c r="H4">
        <v>0.97915494453161445</v>
      </c>
      <c r="I4">
        <v>2.3537826481425197E-3</v>
      </c>
      <c r="J4">
        <v>1.8491272820243029E-2</v>
      </c>
      <c r="L4" s="6">
        <f t="shared" ref="L4:L28" si="1">AVERAGE(B4,G4)</f>
        <v>0.05</v>
      </c>
      <c r="M4" s="7">
        <f t="shared" ref="M4:M27" si="2">_xlfn.STDEV.P(B4,G4)</f>
        <v>1.6666666666666656E-2</v>
      </c>
      <c r="N4" s="1">
        <f t="shared" ref="N4:N28" si="3">AVERAGE(C4,H4)</f>
        <v>0.98426035134089296</v>
      </c>
      <c r="O4">
        <f t="shared" ref="O4:O28" si="4">_xlfn.STDEV.P(C4,H4)</f>
        <v>5.1054068092785121E-3</v>
      </c>
      <c r="P4" s="1">
        <f t="shared" ref="P4:P28" si="5">AVERAGE(D4,I4)</f>
        <v>2.2887690052653745E-3</v>
      </c>
      <c r="Q4">
        <f t="shared" ref="Q4:Q28" si="6">_xlfn.STDEV.P(D4,I4)</f>
        <v>6.5013642877145231E-5</v>
      </c>
      <c r="R4" s="1">
        <f t="shared" ref="R4:R28" si="7">AVERAGE(E4,J4)</f>
        <v>1.3450879653841695E-2</v>
      </c>
      <c r="S4">
        <f t="shared" ref="S4:S28" si="8">_xlfn.STDEV.P(E4,J4)</f>
        <v>5.0403931664013309E-3</v>
      </c>
      <c r="U4" s="1">
        <f t="shared" ref="U4:U28" si="9">0.1*N4</f>
        <v>9.8426035134089304E-2</v>
      </c>
      <c r="V4">
        <f t="shared" ref="V4:V28" si="10">0.1*O4</f>
        <v>5.1054068092785119E-4</v>
      </c>
      <c r="W4" s="1">
        <f t="shared" ref="W4:W28" si="11">0.1*P4</f>
        <v>2.2887690052653746E-4</v>
      </c>
      <c r="X4">
        <f t="shared" ref="X4:X28" si="12">0.1*Q4</f>
        <v>6.5013642877145238E-6</v>
      </c>
      <c r="Y4" s="1">
        <f t="shared" ref="Y4:Y28" si="13">0.1*R4</f>
        <v>1.3450879653841695E-3</v>
      </c>
      <c r="Z4">
        <f t="shared" ref="Z4:Z28" si="14">0.1*S4</f>
        <v>5.0403931664013313E-4</v>
      </c>
    </row>
    <row r="5" spans="1:26" ht="15" x14ac:dyDescent="0.2">
      <c r="B5">
        <v>0.65</v>
      </c>
      <c r="C5">
        <v>0.78991238800944252</v>
      </c>
      <c r="D5">
        <v>3.0760370199394284E-3</v>
      </c>
      <c r="E5">
        <v>0.20701157497061806</v>
      </c>
      <c r="G5">
        <v>0.66666666666666663</v>
      </c>
      <c r="H5">
        <v>0.78972703258168142</v>
      </c>
      <c r="I5">
        <v>3.1006719726893645E-3</v>
      </c>
      <c r="J5">
        <v>0.20717229544562923</v>
      </c>
      <c r="L5" s="6">
        <f t="shared" si="1"/>
        <v>0.65833333333333333</v>
      </c>
      <c r="M5" s="7">
        <f t="shared" si="2"/>
        <v>8.3333333333333037E-3</v>
      </c>
      <c r="N5" s="1">
        <f t="shared" si="3"/>
        <v>0.78981971029556197</v>
      </c>
      <c r="O5">
        <f t="shared" si="4"/>
        <v>9.2677713880551238E-5</v>
      </c>
      <c r="P5" s="1">
        <f t="shared" si="5"/>
        <v>3.0883544963143965E-3</v>
      </c>
      <c r="Q5">
        <f t="shared" si="6"/>
        <v>1.2317476374968089E-5</v>
      </c>
      <c r="R5" s="1">
        <f t="shared" si="7"/>
        <v>0.20709193520812363</v>
      </c>
      <c r="S5">
        <f t="shared" si="8"/>
        <v>8.0360237505586185E-5</v>
      </c>
      <c r="U5" s="1">
        <f t="shared" si="9"/>
        <v>7.8981971029556203E-2</v>
      </c>
      <c r="V5">
        <f t="shared" si="10"/>
        <v>9.2677713880551245E-6</v>
      </c>
      <c r="W5" s="1">
        <f t="shared" si="11"/>
        <v>3.0883544963143965E-4</v>
      </c>
      <c r="X5">
        <f t="shared" si="12"/>
        <v>1.2317476374968089E-6</v>
      </c>
      <c r="Y5" s="1">
        <f t="shared" si="13"/>
        <v>2.0709193520812366E-2</v>
      </c>
      <c r="Z5">
        <f t="shared" si="14"/>
        <v>8.0360237505586188E-6</v>
      </c>
    </row>
    <row r="6" spans="1:26" ht="15" x14ac:dyDescent="0.2">
      <c r="B6">
        <v>1.2666666666666666</v>
      </c>
      <c r="C6">
        <v>0.74349125779241509</v>
      </c>
      <c r="D6">
        <v>3.4812017274612143E-3</v>
      </c>
      <c r="E6">
        <v>0.25302754048012355</v>
      </c>
      <c r="G6">
        <v>1.2833333333333332</v>
      </c>
      <c r="H6">
        <v>0.74279634014817519</v>
      </c>
      <c r="I6">
        <v>3.9154222293113251E-3</v>
      </c>
      <c r="J6">
        <v>0.25328823762251362</v>
      </c>
      <c r="L6" s="6">
        <f t="shared" si="1"/>
        <v>1.2749999999999999</v>
      </c>
      <c r="M6" s="7">
        <f t="shared" si="2"/>
        <v>8.3333333333333037E-3</v>
      </c>
      <c r="N6" s="1">
        <f t="shared" si="3"/>
        <v>0.74314379897029514</v>
      </c>
      <c r="O6">
        <f t="shared" si="4"/>
        <v>3.4745882211995038E-4</v>
      </c>
      <c r="P6" s="1">
        <f t="shared" si="5"/>
        <v>3.6983119783862697E-3</v>
      </c>
      <c r="Q6">
        <f t="shared" si="6"/>
        <v>2.1711025092505543E-4</v>
      </c>
      <c r="R6" s="1">
        <f t="shared" si="7"/>
        <v>0.25315788905131859</v>
      </c>
      <c r="S6">
        <f t="shared" si="8"/>
        <v>1.3034857119503807E-4</v>
      </c>
      <c r="U6" s="1">
        <f t="shared" si="9"/>
        <v>7.431437989702952E-2</v>
      </c>
      <c r="V6">
        <f t="shared" si="10"/>
        <v>3.474588221199504E-5</v>
      </c>
      <c r="W6" s="1">
        <f t="shared" si="11"/>
        <v>3.6983119783862698E-4</v>
      </c>
      <c r="X6">
        <f t="shared" si="12"/>
        <v>2.1711025092505543E-5</v>
      </c>
      <c r="Y6" s="1">
        <f t="shared" si="13"/>
        <v>2.5315788905131861E-2</v>
      </c>
      <c r="Z6">
        <f t="shared" si="14"/>
        <v>1.3034857119503808E-5</v>
      </c>
    </row>
    <row r="7" spans="1:26" ht="15" x14ac:dyDescent="0.2">
      <c r="B7">
        <v>1.8666666666666667</v>
      </c>
      <c r="C7">
        <v>0.73847739809818602</v>
      </c>
      <c r="D7">
        <v>3.1525404141837031E-3</v>
      </c>
      <c r="E7">
        <v>0.25837006148763031</v>
      </c>
      <c r="G7">
        <v>1.8833333333333333</v>
      </c>
      <c r="H7">
        <v>0.74763117440587112</v>
      </c>
      <c r="I7">
        <v>3.281773711297291E-3</v>
      </c>
      <c r="J7">
        <v>0.24908705188283159</v>
      </c>
      <c r="L7" s="6">
        <f t="shared" si="1"/>
        <v>1.875</v>
      </c>
      <c r="M7" s="7">
        <f t="shared" si="2"/>
        <v>8.3333333333333037E-3</v>
      </c>
      <c r="N7" s="1">
        <f t="shared" si="3"/>
        <v>0.74305428625202863</v>
      </c>
      <c r="O7">
        <f t="shared" si="4"/>
        <v>4.576888153842551E-3</v>
      </c>
      <c r="P7" s="1">
        <f t="shared" si="5"/>
        <v>3.2171570627404968E-3</v>
      </c>
      <c r="Q7">
        <f t="shared" si="6"/>
        <v>6.4616648556793969E-5</v>
      </c>
      <c r="R7" s="1">
        <f t="shared" si="7"/>
        <v>0.25372855668523098</v>
      </c>
      <c r="S7">
        <f t="shared" si="8"/>
        <v>4.6415048023993599E-3</v>
      </c>
      <c r="U7" s="1">
        <f t="shared" si="9"/>
        <v>7.4305428625202868E-2</v>
      </c>
      <c r="V7">
        <f t="shared" si="10"/>
        <v>4.5768881538425511E-4</v>
      </c>
      <c r="W7" s="1">
        <f t="shared" si="11"/>
        <v>3.2171570627404969E-4</v>
      </c>
      <c r="X7">
        <f t="shared" si="12"/>
        <v>6.4616648556793971E-6</v>
      </c>
      <c r="Y7" s="1">
        <f t="shared" si="13"/>
        <v>2.5372855668523098E-2</v>
      </c>
      <c r="Z7">
        <f t="shared" si="14"/>
        <v>4.6415048023993601E-4</v>
      </c>
    </row>
    <row r="8" spans="1:26" ht="15" x14ac:dyDescent="0.2">
      <c r="B8">
        <v>2.4666666666666668</v>
      </c>
      <c r="C8">
        <v>0.75334268716916741</v>
      </c>
      <c r="D8">
        <v>2.6652225892376934E-3</v>
      </c>
      <c r="E8">
        <v>0.24399209024159482</v>
      </c>
      <c r="G8">
        <v>2.5</v>
      </c>
      <c r="H8">
        <v>0.75255223703508523</v>
      </c>
      <c r="I8">
        <v>3.0102288257181373E-3</v>
      </c>
      <c r="J8">
        <v>0.24443753413919661</v>
      </c>
      <c r="L8" s="6">
        <f t="shared" si="1"/>
        <v>2.4833333333333334</v>
      </c>
      <c r="M8" s="7">
        <f t="shared" si="2"/>
        <v>1.6666666666666607E-2</v>
      </c>
      <c r="N8" s="1">
        <f t="shared" si="3"/>
        <v>0.75294746210212637</v>
      </c>
      <c r="O8">
        <f t="shared" si="4"/>
        <v>3.9522506704109395E-4</v>
      </c>
      <c r="P8" s="1">
        <f t="shared" si="5"/>
        <v>2.8377257074779154E-3</v>
      </c>
      <c r="Q8">
        <f t="shared" si="6"/>
        <v>1.7250311824022193E-4</v>
      </c>
      <c r="R8" s="1">
        <f t="shared" si="7"/>
        <v>0.2442148121903957</v>
      </c>
      <c r="S8">
        <f t="shared" si="8"/>
        <v>2.2272194880089413E-4</v>
      </c>
      <c r="U8" s="1">
        <f t="shared" si="9"/>
        <v>7.5294746210212649E-2</v>
      </c>
      <c r="V8">
        <f t="shared" si="10"/>
        <v>3.9522506704109395E-5</v>
      </c>
      <c r="W8" s="1">
        <f t="shared" si="11"/>
        <v>2.8377257074779154E-4</v>
      </c>
      <c r="X8">
        <f t="shared" si="12"/>
        <v>1.7250311824022193E-5</v>
      </c>
      <c r="Y8" s="1">
        <f t="shared" si="13"/>
        <v>2.4421481219039573E-2</v>
      </c>
      <c r="Z8">
        <f t="shared" si="14"/>
        <v>2.2272194880089415E-5</v>
      </c>
    </row>
    <row r="9" spans="1:26" ht="15" x14ac:dyDescent="0.2">
      <c r="B9">
        <v>3.0833333333333335</v>
      </c>
      <c r="C9">
        <v>0.75729030143038512</v>
      </c>
      <c r="D9">
        <v>2.3635086089493955E-3</v>
      </c>
      <c r="E9">
        <v>0.24034618996066548</v>
      </c>
      <c r="G9">
        <v>3.1</v>
      </c>
      <c r="H9">
        <v>0.75679590156077403</v>
      </c>
      <c r="I9">
        <v>2.921793466673366E-3</v>
      </c>
      <c r="J9">
        <v>0.2402823049725526</v>
      </c>
      <c r="L9" s="6">
        <f t="shared" si="1"/>
        <v>3.0916666666666668</v>
      </c>
      <c r="M9" s="7">
        <f t="shared" si="2"/>
        <v>8.3333333333333037E-3</v>
      </c>
      <c r="N9" s="1">
        <f t="shared" si="3"/>
        <v>0.75704310149557963</v>
      </c>
      <c r="O9">
        <f t="shared" si="4"/>
        <v>2.4719993480554203E-4</v>
      </c>
      <c r="P9" s="1">
        <f t="shared" si="5"/>
        <v>2.642651037811381E-3</v>
      </c>
      <c r="Q9">
        <f t="shared" si="6"/>
        <v>2.7914242886198522E-4</v>
      </c>
      <c r="R9" s="1">
        <f t="shared" si="7"/>
        <v>0.24031424746660904</v>
      </c>
      <c r="S9">
        <f t="shared" si="8"/>
        <v>3.1942494056441673E-5</v>
      </c>
      <c r="U9" s="1">
        <f t="shared" si="9"/>
        <v>7.5704310149557974E-2</v>
      </c>
      <c r="V9">
        <f t="shared" si="10"/>
        <v>2.4719993480554203E-5</v>
      </c>
      <c r="W9" s="1">
        <f t="shared" si="11"/>
        <v>2.6426510378113811E-4</v>
      </c>
      <c r="X9">
        <f t="shared" si="12"/>
        <v>2.7914242886198524E-5</v>
      </c>
      <c r="Y9" s="1">
        <f t="shared" si="13"/>
        <v>2.4031424746660906E-2</v>
      </c>
      <c r="Z9">
        <f t="shared" si="14"/>
        <v>3.1942494056441675E-6</v>
      </c>
    </row>
    <row r="10" spans="1:26" ht="15" x14ac:dyDescent="0.2">
      <c r="B10">
        <v>3.6833333333333336</v>
      </c>
      <c r="C10">
        <v>0.76826590028875585</v>
      </c>
      <c r="D10">
        <v>2.3350968536369411E-3</v>
      </c>
      <c r="E10">
        <v>0.22939900285760723</v>
      </c>
      <c r="G10">
        <v>3.7</v>
      </c>
      <c r="H10">
        <v>0.75625413378378858</v>
      </c>
      <c r="I10">
        <v>2.4903228891439838E-3</v>
      </c>
      <c r="J10">
        <v>0.24125554332706739</v>
      </c>
      <c r="L10" s="6">
        <f t="shared" si="1"/>
        <v>3.6916666666666669</v>
      </c>
      <c r="M10" s="7">
        <f t="shared" si="2"/>
        <v>8.3333333333333037E-3</v>
      </c>
      <c r="N10" s="1">
        <f t="shared" si="3"/>
        <v>0.76226001703627222</v>
      </c>
      <c r="O10">
        <f t="shared" si="4"/>
        <v>6.0058832524836347E-3</v>
      </c>
      <c r="P10" s="1">
        <f t="shared" si="5"/>
        <v>2.4127098713904623E-3</v>
      </c>
      <c r="Q10">
        <f t="shared" si="6"/>
        <v>7.761301775352134E-5</v>
      </c>
      <c r="R10" s="1">
        <f t="shared" si="7"/>
        <v>0.23532727309233731</v>
      </c>
      <c r="S10">
        <f t="shared" si="8"/>
        <v>5.928270234730082E-3</v>
      </c>
      <c r="U10" s="1">
        <f t="shared" si="9"/>
        <v>7.6226001703627227E-2</v>
      </c>
      <c r="V10">
        <f t="shared" si="10"/>
        <v>6.005883252483635E-4</v>
      </c>
      <c r="W10" s="1">
        <f t="shared" si="11"/>
        <v>2.4127098713904623E-4</v>
      </c>
      <c r="X10">
        <f t="shared" si="12"/>
        <v>7.7613017753521344E-6</v>
      </c>
      <c r="Y10" s="1">
        <f t="shared" si="13"/>
        <v>2.3532727309233732E-2</v>
      </c>
      <c r="Z10">
        <f t="shared" si="14"/>
        <v>5.9282702347300824E-4</v>
      </c>
    </row>
    <row r="11" spans="1:26" ht="15" x14ac:dyDescent="0.2">
      <c r="B11">
        <v>4.2833333333333332</v>
      </c>
      <c r="C11">
        <v>0.77647071876123119</v>
      </c>
      <c r="D11">
        <v>1.7374625296930758E-3</v>
      </c>
      <c r="E11">
        <v>0.22179181870907574</v>
      </c>
      <c r="G11">
        <v>4.3166666666666664</v>
      </c>
      <c r="H11">
        <v>0.77605536242464479</v>
      </c>
      <c r="I11">
        <v>2.3645664793825664E-3</v>
      </c>
      <c r="J11">
        <v>0.22158007109597277</v>
      </c>
      <c r="L11" s="6">
        <f t="shared" si="1"/>
        <v>4.3</v>
      </c>
      <c r="M11" s="7">
        <f t="shared" si="2"/>
        <v>1.6666666666666607E-2</v>
      </c>
      <c r="N11" s="1">
        <f t="shared" si="3"/>
        <v>0.77626304059293805</v>
      </c>
      <c r="O11">
        <f t="shared" si="4"/>
        <v>2.0767816829320163E-4</v>
      </c>
      <c r="P11" s="1">
        <f t="shared" si="5"/>
        <v>2.0510145045378211E-3</v>
      </c>
      <c r="Q11">
        <f t="shared" si="6"/>
        <v>3.1355197484474531E-4</v>
      </c>
      <c r="R11" s="1">
        <f t="shared" si="7"/>
        <v>0.22168594490252425</v>
      </c>
      <c r="S11">
        <f t="shared" si="8"/>
        <v>1.0587380655148471E-4</v>
      </c>
      <c r="U11" s="1">
        <f t="shared" si="9"/>
        <v>7.7626304059293813E-2</v>
      </c>
      <c r="V11">
        <f t="shared" si="10"/>
        <v>2.0767816829320165E-5</v>
      </c>
      <c r="W11" s="1">
        <f t="shared" si="11"/>
        <v>2.0510145045378212E-4</v>
      </c>
      <c r="X11">
        <f t="shared" si="12"/>
        <v>3.1355197484474534E-5</v>
      </c>
      <c r="Y11" s="1">
        <f t="shared" si="13"/>
        <v>2.2168594490252425E-2</v>
      </c>
      <c r="Z11">
        <f t="shared" si="14"/>
        <v>1.0587380655148472E-5</v>
      </c>
    </row>
    <row r="12" spans="1:26" ht="15" x14ac:dyDescent="0.2">
      <c r="B12">
        <v>4.9000000000000004</v>
      </c>
      <c r="C12">
        <v>0.79150571390702129</v>
      </c>
      <c r="D12">
        <v>1.4240894946732894E-3</v>
      </c>
      <c r="E12">
        <v>0.20707019659830539</v>
      </c>
      <c r="G12">
        <v>4.916666666666667</v>
      </c>
      <c r="H12">
        <v>0.79062352094274535</v>
      </c>
      <c r="I12">
        <v>2.0016785453958507E-3</v>
      </c>
      <c r="J12">
        <v>0.20737480051185878</v>
      </c>
      <c r="L12" s="6">
        <f t="shared" si="1"/>
        <v>4.9083333333333332</v>
      </c>
      <c r="M12" s="7">
        <f t="shared" si="2"/>
        <v>8.3333333333333037E-3</v>
      </c>
      <c r="N12" s="1">
        <f t="shared" si="3"/>
        <v>0.79106461742488332</v>
      </c>
      <c r="O12">
        <f t="shared" si="4"/>
        <v>4.4109648213797037E-4</v>
      </c>
      <c r="P12" s="1">
        <f t="shared" si="5"/>
        <v>1.7128840200345699E-3</v>
      </c>
      <c r="Q12">
        <f t="shared" si="6"/>
        <v>2.8879452536128062E-4</v>
      </c>
      <c r="R12" s="1">
        <f t="shared" si="7"/>
        <v>0.20722249855508207</v>
      </c>
      <c r="S12">
        <f t="shared" si="8"/>
        <v>1.5230195677669311E-4</v>
      </c>
      <c r="U12" s="1">
        <f t="shared" si="9"/>
        <v>7.9106461742488338E-2</v>
      </c>
      <c r="V12">
        <f t="shared" si="10"/>
        <v>4.4109648213797038E-5</v>
      </c>
      <c r="W12" s="1">
        <f t="shared" si="11"/>
        <v>1.7128840200345702E-4</v>
      </c>
      <c r="X12">
        <f t="shared" si="12"/>
        <v>2.8879452536128063E-5</v>
      </c>
      <c r="Y12" s="1">
        <f t="shared" si="13"/>
        <v>2.0722249855508208E-2</v>
      </c>
      <c r="Z12">
        <f t="shared" si="14"/>
        <v>1.5230195677669312E-5</v>
      </c>
    </row>
    <row r="13" spans="1:26" ht="15" x14ac:dyDescent="0.2">
      <c r="B13">
        <v>5.5</v>
      </c>
      <c r="C13">
        <v>0.80045574015537357</v>
      </c>
      <c r="D13">
        <v>1.2191416020331492E-3</v>
      </c>
      <c r="E13">
        <v>0.19832511824259325</v>
      </c>
      <c r="G13">
        <v>5.5166666666666666</v>
      </c>
      <c r="H13">
        <v>0.79716064906947948</v>
      </c>
      <c r="I13">
        <v>1.7929551485326844E-3</v>
      </c>
      <c r="J13">
        <v>0.20104639578198791</v>
      </c>
      <c r="L13" s="6">
        <f t="shared" si="1"/>
        <v>5.5083333333333329</v>
      </c>
      <c r="M13" s="7">
        <f t="shared" si="2"/>
        <v>8.3333333333333037E-3</v>
      </c>
      <c r="N13" s="1">
        <f t="shared" si="3"/>
        <v>0.79880819461242658</v>
      </c>
      <c r="O13">
        <f t="shared" si="4"/>
        <v>1.6475455429470487E-3</v>
      </c>
      <c r="P13" s="1">
        <f t="shared" si="5"/>
        <v>1.5060483752829168E-3</v>
      </c>
      <c r="Q13">
        <f t="shared" si="6"/>
        <v>2.8690677324976757E-4</v>
      </c>
      <c r="R13" s="1">
        <f t="shared" si="7"/>
        <v>0.19968575701229058</v>
      </c>
      <c r="S13">
        <f t="shared" si="8"/>
        <v>1.360638769697331E-3</v>
      </c>
      <c r="U13" s="1">
        <f t="shared" si="9"/>
        <v>7.9880819461242661E-2</v>
      </c>
      <c r="V13">
        <f t="shared" si="10"/>
        <v>1.6475455429470489E-4</v>
      </c>
      <c r="W13" s="1">
        <f t="shared" si="11"/>
        <v>1.5060483752829168E-4</v>
      </c>
      <c r="X13">
        <f t="shared" si="12"/>
        <v>2.8690677324976757E-5</v>
      </c>
      <c r="Y13" s="1">
        <f t="shared" si="13"/>
        <v>1.996857570122906E-2</v>
      </c>
      <c r="Z13">
        <f t="shared" si="14"/>
        <v>1.3606387696973309E-4</v>
      </c>
    </row>
    <row r="14" spans="1:26" ht="15" x14ac:dyDescent="0.2">
      <c r="B14">
        <v>6.1166666666666663</v>
      </c>
      <c r="C14">
        <v>0.80303399432777678</v>
      </c>
      <c r="D14">
        <v>1.1782954138375727E-3</v>
      </c>
      <c r="E14">
        <v>0.19578771025838565</v>
      </c>
      <c r="G14">
        <v>6.1333333333333337</v>
      </c>
      <c r="H14">
        <v>0.80884785265276671</v>
      </c>
      <c r="I14">
        <v>1.7004048735136739E-3</v>
      </c>
      <c r="J14">
        <v>0.18945174247371951</v>
      </c>
      <c r="L14" s="6">
        <f t="shared" si="1"/>
        <v>6.125</v>
      </c>
      <c r="M14" s="7">
        <f t="shared" si="2"/>
        <v>8.3333333333337478E-3</v>
      </c>
      <c r="N14" s="1">
        <f t="shared" si="3"/>
        <v>0.80594092349027169</v>
      </c>
      <c r="O14">
        <f t="shared" si="4"/>
        <v>2.906929162494964E-3</v>
      </c>
      <c r="P14" s="1">
        <f t="shared" si="5"/>
        <v>1.4393501436756233E-3</v>
      </c>
      <c r="Q14">
        <f t="shared" si="6"/>
        <v>2.610547298380506E-4</v>
      </c>
      <c r="R14" s="1">
        <f t="shared" si="7"/>
        <v>0.19261972636605257</v>
      </c>
      <c r="S14">
        <f t="shared" si="8"/>
        <v>3.1679838923330678E-3</v>
      </c>
      <c r="U14" s="1">
        <f t="shared" si="9"/>
        <v>8.0594092349027174E-2</v>
      </c>
      <c r="V14">
        <f t="shared" si="10"/>
        <v>2.9069291624949641E-4</v>
      </c>
      <c r="W14" s="1">
        <f t="shared" si="11"/>
        <v>1.4393501436756233E-4</v>
      </c>
      <c r="X14">
        <f t="shared" si="12"/>
        <v>2.6105472983805061E-5</v>
      </c>
      <c r="Y14" s="1">
        <f t="shared" si="13"/>
        <v>1.9261972636605257E-2</v>
      </c>
      <c r="Z14">
        <f t="shared" si="14"/>
        <v>3.167983892333068E-4</v>
      </c>
    </row>
    <row r="15" spans="1:26" ht="15" x14ac:dyDescent="0.2">
      <c r="B15">
        <v>6.7166666666666668</v>
      </c>
      <c r="C15">
        <v>0.81990011193628132</v>
      </c>
      <c r="D15">
        <v>8.8760141282284699E-4</v>
      </c>
      <c r="E15">
        <v>0.17921228665089589</v>
      </c>
      <c r="G15">
        <v>6.7333333333333334</v>
      </c>
      <c r="H15">
        <v>0.80408556767751782</v>
      </c>
      <c r="I15">
        <v>1.6804356877416159E-3</v>
      </c>
      <c r="J15">
        <v>0.19423399663474064</v>
      </c>
      <c r="L15" s="6">
        <f t="shared" si="1"/>
        <v>6.7249999999999996</v>
      </c>
      <c r="M15" s="7">
        <f t="shared" si="2"/>
        <v>8.3333333333333037E-3</v>
      </c>
      <c r="N15" s="1">
        <f t="shared" si="3"/>
        <v>0.81199283980689962</v>
      </c>
      <c r="O15">
        <f t="shared" si="4"/>
        <v>7.9072721293817483E-3</v>
      </c>
      <c r="P15" s="1">
        <f t="shared" si="5"/>
        <v>1.2840185502822315E-3</v>
      </c>
      <c r="Q15">
        <f t="shared" si="6"/>
        <v>3.9641713745938446E-4</v>
      </c>
      <c r="R15" s="1">
        <f t="shared" si="7"/>
        <v>0.18672314164281828</v>
      </c>
      <c r="S15">
        <f t="shared" si="8"/>
        <v>7.5108549919223749E-3</v>
      </c>
      <c r="U15" s="1">
        <f t="shared" si="9"/>
        <v>8.1199283980689971E-2</v>
      </c>
      <c r="V15">
        <f t="shared" si="10"/>
        <v>7.9072721293817487E-4</v>
      </c>
      <c r="W15" s="1">
        <f t="shared" si="11"/>
        <v>1.2840185502822316E-4</v>
      </c>
      <c r="X15">
        <f t="shared" si="12"/>
        <v>3.9641713745938446E-5</v>
      </c>
      <c r="Y15" s="1">
        <f t="shared" si="13"/>
        <v>1.867231416428183E-2</v>
      </c>
      <c r="Z15">
        <f t="shared" si="14"/>
        <v>7.5108549919223754E-4</v>
      </c>
    </row>
    <row r="16" spans="1:26" ht="15" x14ac:dyDescent="0.2">
      <c r="B16">
        <v>7.3166666666666664</v>
      </c>
      <c r="C16">
        <v>0.83050176577252532</v>
      </c>
      <c r="D16">
        <v>7.0019712095790272E-4</v>
      </c>
      <c r="E16">
        <v>0.16879803710651667</v>
      </c>
      <c r="G16">
        <v>7.333333333333333</v>
      </c>
      <c r="H16">
        <v>0.81976814094832673</v>
      </c>
      <c r="I16">
        <v>1.3242960670054173E-3</v>
      </c>
      <c r="J16">
        <v>0.17890756298466784</v>
      </c>
      <c r="L16" s="6">
        <f t="shared" si="1"/>
        <v>7.3249999999999993</v>
      </c>
      <c r="M16" s="7">
        <f t="shared" si="2"/>
        <v>8.3333333333333037E-3</v>
      </c>
      <c r="N16" s="1">
        <f t="shared" si="3"/>
        <v>0.82513495336042597</v>
      </c>
      <c r="O16">
        <f t="shared" si="4"/>
        <v>5.3668124120992977E-3</v>
      </c>
      <c r="P16" s="1">
        <f t="shared" si="5"/>
        <v>1.0122465939816599E-3</v>
      </c>
      <c r="Q16">
        <f t="shared" si="6"/>
        <v>3.1204947302375727E-4</v>
      </c>
      <c r="R16" s="1">
        <f t="shared" si="7"/>
        <v>0.17385280004559225</v>
      </c>
      <c r="S16">
        <f t="shared" si="8"/>
        <v>5.0547629390755855E-3</v>
      </c>
      <c r="U16" s="1">
        <f t="shared" si="9"/>
        <v>8.2513495336042603E-2</v>
      </c>
      <c r="V16">
        <f t="shared" si="10"/>
        <v>5.3668124120992975E-4</v>
      </c>
      <c r="W16" s="1">
        <f t="shared" si="11"/>
        <v>1.01224659398166E-4</v>
      </c>
      <c r="X16">
        <f t="shared" si="12"/>
        <v>3.1204947302375731E-5</v>
      </c>
      <c r="Y16" s="1">
        <f t="shared" si="13"/>
        <v>1.7385280004559227E-2</v>
      </c>
      <c r="Z16">
        <f t="shared" si="14"/>
        <v>5.0547629390755859E-4</v>
      </c>
    </row>
    <row r="17" spans="2:26" ht="15" x14ac:dyDescent="0.2">
      <c r="B17">
        <v>7.9333333333333336</v>
      </c>
      <c r="C17">
        <v>0.82953450410878471</v>
      </c>
      <c r="D17">
        <v>6.0590357029050295E-4</v>
      </c>
      <c r="E17">
        <v>0.16985959232092482</v>
      </c>
      <c r="G17">
        <v>7.95</v>
      </c>
      <c r="H17">
        <v>0.82699399844524313</v>
      </c>
      <c r="I17">
        <v>1.1819898877975495E-3</v>
      </c>
      <c r="J17">
        <v>0.17182401166695924</v>
      </c>
      <c r="L17" s="6">
        <f t="shared" si="1"/>
        <v>7.9416666666666664</v>
      </c>
      <c r="M17" s="7">
        <f>_xlfn.STDEV.P(B17,G17)</f>
        <v>8.3333333333333037E-3</v>
      </c>
      <c r="N17" s="1">
        <f t="shared" si="3"/>
        <v>0.82826425127701397</v>
      </c>
      <c r="O17">
        <f t="shared" si="4"/>
        <v>1.2702528317707906E-3</v>
      </c>
      <c r="P17" s="1">
        <f t="shared" si="5"/>
        <v>8.9394672904402617E-4</v>
      </c>
      <c r="Q17">
        <f t="shared" si="6"/>
        <v>2.8804315875352327E-4</v>
      </c>
      <c r="R17" s="1">
        <f t="shared" si="7"/>
        <v>0.17084180199394203</v>
      </c>
      <c r="S17">
        <f t="shared" si="8"/>
        <v>9.8220967301720918E-4</v>
      </c>
      <c r="U17" s="1">
        <f t="shared" si="9"/>
        <v>8.28264251277014E-2</v>
      </c>
      <c r="V17">
        <f t="shared" si="10"/>
        <v>1.2702528317707907E-4</v>
      </c>
      <c r="W17" s="1">
        <f t="shared" si="11"/>
        <v>8.9394672904402628E-5</v>
      </c>
      <c r="X17">
        <f t="shared" si="12"/>
        <v>2.8804315875352327E-5</v>
      </c>
      <c r="Y17" s="1">
        <f t="shared" si="13"/>
        <v>1.7084180199394203E-2</v>
      </c>
      <c r="Z17">
        <f t="shared" si="14"/>
        <v>9.8220967301720918E-5</v>
      </c>
    </row>
    <row r="18" spans="2:26" ht="15" x14ac:dyDescent="0.2">
      <c r="B18">
        <v>8.9666666666666668</v>
      </c>
      <c r="C18">
        <v>0.8459858237999196</v>
      </c>
      <c r="D18">
        <v>4.2350854414861442E-4</v>
      </c>
      <c r="E18">
        <v>0.15359066765593177</v>
      </c>
      <c r="G18">
        <v>8.9833333333333325</v>
      </c>
      <c r="H18">
        <v>0.84342697797890054</v>
      </c>
      <c r="I18">
        <v>1.0410136933929673E-3</v>
      </c>
      <c r="J18">
        <v>0.15553200832770658</v>
      </c>
      <c r="L18" s="6">
        <f t="shared" si="1"/>
        <v>8.9749999999999996</v>
      </c>
      <c r="M18" s="7">
        <f t="shared" si="2"/>
        <v>8.3333333333328596E-3</v>
      </c>
      <c r="N18" s="1">
        <f t="shared" si="3"/>
        <v>0.84470640088941007</v>
      </c>
      <c r="O18">
        <f t="shared" si="4"/>
        <v>1.2794229105095312E-3</v>
      </c>
      <c r="P18" s="1">
        <f t="shared" si="5"/>
        <v>7.3226111877079084E-4</v>
      </c>
      <c r="Q18">
        <f t="shared" si="6"/>
        <v>3.0875257462217648E-4</v>
      </c>
      <c r="R18" s="1">
        <f t="shared" si="7"/>
        <v>0.15456133799181918</v>
      </c>
      <c r="S18">
        <f t="shared" si="8"/>
        <v>9.7067033588740803E-4</v>
      </c>
      <c r="U18" s="1">
        <f t="shared" si="9"/>
        <v>8.4470640088941007E-2</v>
      </c>
      <c r="V18">
        <f t="shared" si="10"/>
        <v>1.2794229105095312E-4</v>
      </c>
      <c r="W18" s="1">
        <f t="shared" si="11"/>
        <v>7.3226111877079087E-5</v>
      </c>
      <c r="X18">
        <f t="shared" si="12"/>
        <v>3.0875257462217648E-5</v>
      </c>
      <c r="Y18" s="1">
        <f t="shared" si="13"/>
        <v>1.5456133799181919E-2</v>
      </c>
      <c r="Z18">
        <f t="shared" si="14"/>
        <v>9.7067033588740809E-5</v>
      </c>
    </row>
    <row r="19" spans="2:26" ht="15" x14ac:dyDescent="0.2">
      <c r="B19">
        <v>10.016666666666667</v>
      </c>
      <c r="C19">
        <v>0.86086783092992947</v>
      </c>
      <c r="D19">
        <v>3.04569146985425E-4</v>
      </c>
      <c r="E19">
        <v>0.13882759992308508</v>
      </c>
      <c r="G19">
        <v>10.033333333333333</v>
      </c>
      <c r="H19">
        <v>0.85611598170495262</v>
      </c>
      <c r="I19">
        <v>8.7626695563064927E-4</v>
      </c>
      <c r="J19">
        <v>0.14300775133941673</v>
      </c>
      <c r="L19" s="6">
        <f t="shared" si="1"/>
        <v>10.025</v>
      </c>
      <c r="M19" s="7">
        <f t="shared" si="2"/>
        <v>8.3333333333328596E-3</v>
      </c>
      <c r="N19" s="1">
        <f t="shared" si="3"/>
        <v>0.85849190631744099</v>
      </c>
      <c r="O19">
        <f t="shared" si="4"/>
        <v>2.3759246124884226E-3</v>
      </c>
      <c r="P19" s="1">
        <f t="shared" si="5"/>
        <v>5.9041805130803714E-4</v>
      </c>
      <c r="Q19">
        <f t="shared" si="6"/>
        <v>2.8584890432261213E-4</v>
      </c>
      <c r="R19" s="1">
        <f t="shared" si="7"/>
        <v>0.1409176756312509</v>
      </c>
      <c r="S19">
        <f t="shared" si="8"/>
        <v>2.0900757081658283E-3</v>
      </c>
      <c r="U19" s="1">
        <f t="shared" si="9"/>
        <v>8.5849190631744107E-2</v>
      </c>
      <c r="V19">
        <f t="shared" si="10"/>
        <v>2.3759246124884227E-4</v>
      </c>
      <c r="W19" s="1">
        <f t="shared" si="11"/>
        <v>5.9041805130803715E-5</v>
      </c>
      <c r="X19">
        <f t="shared" si="12"/>
        <v>2.8584890432261215E-5</v>
      </c>
      <c r="Y19" s="1">
        <f t="shared" si="13"/>
        <v>1.4091767563125092E-2</v>
      </c>
      <c r="Z19">
        <f t="shared" si="14"/>
        <v>2.0900757081658284E-4</v>
      </c>
    </row>
    <row r="20" spans="2:26" ht="15" x14ac:dyDescent="0.2">
      <c r="B20">
        <v>11.05</v>
      </c>
      <c r="C20">
        <v>0.87511813254079862</v>
      </c>
      <c r="D20">
        <v>1.8281891826963422E-4</v>
      </c>
      <c r="E20">
        <v>0.12469904854093165</v>
      </c>
      <c r="G20">
        <v>11.066666666666666</v>
      </c>
      <c r="H20">
        <v>0.86735436324684489</v>
      </c>
      <c r="I20">
        <v>6.7422872420125173E-4</v>
      </c>
      <c r="J20">
        <v>0.13197140802895391</v>
      </c>
      <c r="L20" s="6">
        <f t="shared" si="1"/>
        <v>11.058333333333334</v>
      </c>
      <c r="M20" s="7">
        <f t="shared" si="2"/>
        <v>8.3333333333328596E-3</v>
      </c>
      <c r="N20" s="1">
        <f t="shared" si="3"/>
        <v>0.87123624789382181</v>
      </c>
      <c r="O20">
        <f t="shared" si="4"/>
        <v>3.8818846469768631E-3</v>
      </c>
      <c r="P20" s="1">
        <f t="shared" si="5"/>
        <v>4.2852382123544297E-4</v>
      </c>
      <c r="Q20">
        <f t="shared" si="6"/>
        <v>2.4570490296580875E-4</v>
      </c>
      <c r="R20" s="1">
        <f t="shared" si="7"/>
        <v>0.12833522828494279</v>
      </c>
      <c r="S20">
        <f t="shared" si="8"/>
        <v>3.6361797440111268E-3</v>
      </c>
      <c r="U20" s="1">
        <f t="shared" si="9"/>
        <v>8.7123624789382181E-2</v>
      </c>
      <c r="V20">
        <f t="shared" si="10"/>
        <v>3.8818846469768634E-4</v>
      </c>
      <c r="W20" s="1">
        <f t="shared" si="11"/>
        <v>4.2852382123544303E-5</v>
      </c>
      <c r="X20">
        <f t="shared" si="12"/>
        <v>2.4570490296580876E-5</v>
      </c>
      <c r="Y20" s="1">
        <f t="shared" si="13"/>
        <v>1.283352282849428E-2</v>
      </c>
      <c r="Z20">
        <f t="shared" si="14"/>
        <v>3.6361797440111269E-4</v>
      </c>
    </row>
    <row r="21" spans="2:26" ht="15" x14ac:dyDescent="0.2">
      <c r="B21">
        <v>12.1</v>
      </c>
      <c r="C21">
        <v>0.88777612743624679</v>
      </c>
      <c r="D21">
        <v>1.6515967195580088E-4</v>
      </c>
      <c r="E21">
        <v>0.11205871289179735</v>
      </c>
      <c r="G21">
        <v>12.116666666666667</v>
      </c>
      <c r="H21">
        <v>0.88135403812688695</v>
      </c>
      <c r="I21">
        <v>5.8608687342658983E-4</v>
      </c>
      <c r="J21">
        <v>0.11805987499968651</v>
      </c>
      <c r="L21" s="6">
        <f t="shared" si="1"/>
        <v>12.108333333333334</v>
      </c>
      <c r="M21" s="7">
        <f t="shared" si="2"/>
        <v>8.3333333333337478E-3</v>
      </c>
      <c r="N21" s="1">
        <f t="shared" si="3"/>
        <v>0.88456508278156687</v>
      </c>
      <c r="O21">
        <f t="shared" si="4"/>
        <v>3.2110446546799176E-3</v>
      </c>
      <c r="P21" s="1">
        <f t="shared" si="5"/>
        <v>3.7562327269119537E-4</v>
      </c>
      <c r="Q21">
        <f t="shared" si="6"/>
        <v>2.1046360073539446E-4</v>
      </c>
      <c r="R21" s="1">
        <f t="shared" si="7"/>
        <v>0.11505929394574194</v>
      </c>
      <c r="S21">
        <f t="shared" si="8"/>
        <v>3.0005810539445797E-3</v>
      </c>
      <c r="U21" s="1">
        <f t="shared" si="9"/>
        <v>8.8456508278156695E-2</v>
      </c>
      <c r="V21">
        <f t="shared" si="10"/>
        <v>3.2110446546799179E-4</v>
      </c>
      <c r="W21" s="1">
        <f t="shared" si="11"/>
        <v>3.7562327269119537E-5</v>
      </c>
      <c r="X21">
        <f t="shared" si="12"/>
        <v>2.1046360073539447E-5</v>
      </c>
      <c r="Y21" s="1">
        <f t="shared" si="13"/>
        <v>1.1505929394574194E-2</v>
      </c>
      <c r="Z21">
        <f t="shared" si="14"/>
        <v>3.0005810539445799E-4</v>
      </c>
    </row>
    <row r="22" spans="2:26" ht="15" x14ac:dyDescent="0.2">
      <c r="B22">
        <v>13.133333333333333</v>
      </c>
      <c r="C22">
        <v>0.89779713015331919</v>
      </c>
      <c r="D22">
        <v>1.2092673020338239E-4</v>
      </c>
      <c r="E22">
        <v>0.10208194311647738</v>
      </c>
      <c r="G22">
        <v>13.15</v>
      </c>
      <c r="H22">
        <v>0.89088879245150965</v>
      </c>
      <c r="I22">
        <v>4.4311159851889655E-4</v>
      </c>
      <c r="J22">
        <v>0.10866809594997157</v>
      </c>
      <c r="L22" s="6">
        <f t="shared" si="1"/>
        <v>13.141666666666666</v>
      </c>
      <c r="M22" s="7">
        <f t="shared" si="2"/>
        <v>8.3333333333337478E-3</v>
      </c>
      <c r="N22" s="1">
        <f t="shared" si="3"/>
        <v>0.89434296130241442</v>
      </c>
      <c r="O22">
        <f t="shared" si="4"/>
        <v>3.4541688509047708E-3</v>
      </c>
      <c r="P22" s="1">
        <f t="shared" si="5"/>
        <v>2.820191643611395E-4</v>
      </c>
      <c r="Q22">
        <f t="shared" si="6"/>
        <v>1.6109243415775708E-4</v>
      </c>
      <c r="R22" s="1">
        <f t="shared" si="7"/>
        <v>0.10537501953322448</v>
      </c>
      <c r="S22">
        <f t="shared" si="8"/>
        <v>3.2930764167470941E-3</v>
      </c>
      <c r="U22" s="1">
        <f t="shared" si="9"/>
        <v>8.9434296130241453E-2</v>
      </c>
      <c r="V22">
        <f t="shared" si="10"/>
        <v>3.4541688509047712E-4</v>
      </c>
      <c r="W22" s="1">
        <f t="shared" si="11"/>
        <v>2.820191643611395E-5</v>
      </c>
      <c r="X22">
        <f t="shared" si="12"/>
        <v>1.610924341577571E-5</v>
      </c>
      <c r="Y22" s="1">
        <f t="shared" si="13"/>
        <v>1.0537501953322448E-2</v>
      </c>
      <c r="Z22">
        <f t="shared" si="14"/>
        <v>3.2930764167470944E-4</v>
      </c>
    </row>
    <row r="23" spans="2:26" ht="15" x14ac:dyDescent="0.2">
      <c r="B23">
        <v>14.183333333333334</v>
      </c>
      <c r="C23">
        <v>0.90684257225387632</v>
      </c>
      <c r="D23">
        <v>8.3158612619319781E-5</v>
      </c>
      <c r="E23">
        <v>9.3074269133504348E-2</v>
      </c>
      <c r="G23">
        <v>14.2</v>
      </c>
      <c r="H23">
        <v>0.90308112323364753</v>
      </c>
      <c r="I23">
        <v>3.943028038621579E-4</v>
      </c>
      <c r="J23">
        <v>9.6524573962490284E-2</v>
      </c>
      <c r="L23" s="6">
        <f t="shared" si="1"/>
        <v>14.191666666666666</v>
      </c>
      <c r="M23" s="7">
        <f t="shared" si="2"/>
        <v>8.3333333333328596E-3</v>
      </c>
      <c r="N23" s="1">
        <f t="shared" si="3"/>
        <v>0.90496184774376198</v>
      </c>
      <c r="O23">
        <f t="shared" si="4"/>
        <v>1.8807245101143955E-3</v>
      </c>
      <c r="P23" s="1">
        <f t="shared" si="5"/>
        <v>2.3873070824073883E-4</v>
      </c>
      <c r="Q23">
        <f t="shared" si="6"/>
        <v>1.5557209562141905E-4</v>
      </c>
      <c r="R23" s="1">
        <f t="shared" si="7"/>
        <v>9.4799421547997309E-2</v>
      </c>
      <c r="S23">
        <f t="shared" si="8"/>
        <v>1.7251524144929684E-3</v>
      </c>
      <c r="U23" s="1">
        <f t="shared" si="9"/>
        <v>9.0496184774376209E-2</v>
      </c>
      <c r="V23">
        <f t="shared" si="10"/>
        <v>1.8807245101143955E-4</v>
      </c>
      <c r="W23" s="1">
        <f t="shared" si="11"/>
        <v>2.3873070824073884E-5</v>
      </c>
      <c r="X23">
        <f t="shared" si="12"/>
        <v>1.5557209562141905E-5</v>
      </c>
      <c r="Y23" s="1">
        <f t="shared" si="13"/>
        <v>9.4799421547997319E-3</v>
      </c>
      <c r="Z23">
        <f t="shared" si="14"/>
        <v>1.7251524144929685E-4</v>
      </c>
    </row>
    <row r="24" spans="2:26" ht="15" x14ac:dyDescent="0.2">
      <c r="B24">
        <v>23.616666666666667</v>
      </c>
      <c r="C24">
        <v>0.96271240332745278</v>
      </c>
      <c r="D24">
        <v>0</v>
      </c>
      <c r="E24">
        <v>3.7287596672547253E-2</v>
      </c>
      <c r="G24">
        <v>23.633333333333333</v>
      </c>
      <c r="H24">
        <v>0.95804583648532093</v>
      </c>
      <c r="I24">
        <v>3.2509634373170581E-5</v>
      </c>
      <c r="J24">
        <v>4.1921653880305908E-2</v>
      </c>
      <c r="L24" s="6">
        <f t="shared" si="1"/>
        <v>23.625</v>
      </c>
      <c r="M24" s="7">
        <f t="shared" si="2"/>
        <v>8.3333333333328596E-3</v>
      </c>
      <c r="N24" s="1">
        <f t="shared" si="3"/>
        <v>0.96037911990638691</v>
      </c>
      <c r="O24">
        <f t="shared" si="4"/>
        <v>2.3332834210659237E-3</v>
      </c>
      <c r="P24" s="1">
        <f t="shared" si="5"/>
        <v>1.6254817186585291E-5</v>
      </c>
      <c r="Q24">
        <f t="shared" si="6"/>
        <v>1.6254817186585291E-5</v>
      </c>
      <c r="R24" s="1">
        <f t="shared" si="7"/>
        <v>3.960462527642658E-2</v>
      </c>
      <c r="S24">
        <f t="shared" si="8"/>
        <v>2.3170286038793272E-3</v>
      </c>
      <c r="U24" s="1">
        <f t="shared" si="9"/>
        <v>9.60379119906387E-2</v>
      </c>
      <c r="V24">
        <f t="shared" si="10"/>
        <v>2.3332834210659239E-4</v>
      </c>
      <c r="W24" s="1">
        <f t="shared" si="11"/>
        <v>1.6254817186585291E-6</v>
      </c>
      <c r="X24">
        <f t="shared" si="12"/>
        <v>1.6254817186585291E-6</v>
      </c>
      <c r="Y24" s="1">
        <f t="shared" si="13"/>
        <v>3.9604625276426584E-3</v>
      </c>
      <c r="Z24">
        <f t="shared" si="14"/>
        <v>2.3170286038793275E-4</v>
      </c>
    </row>
    <row r="25" spans="2:26" ht="15" x14ac:dyDescent="0.2">
      <c r="B25">
        <v>27.466666666666665</v>
      </c>
      <c r="C25">
        <v>0.97484346838417157</v>
      </c>
      <c r="D25">
        <v>0</v>
      </c>
      <c r="E25">
        <v>2.5156531615828436E-2</v>
      </c>
      <c r="G25">
        <v>28.483333333333334</v>
      </c>
      <c r="H25">
        <v>0.97152200436697067</v>
      </c>
      <c r="I25">
        <v>0</v>
      </c>
      <c r="J25">
        <v>2.8477995633029433E-2</v>
      </c>
      <c r="L25" s="6">
        <f t="shared" si="1"/>
        <v>27.975000000000001</v>
      </c>
      <c r="M25" s="7">
        <f t="shared" si="2"/>
        <v>0.50833333333333464</v>
      </c>
      <c r="N25" s="1">
        <f t="shared" si="3"/>
        <v>0.97318273637557118</v>
      </c>
      <c r="O25">
        <f t="shared" si="4"/>
        <v>1.6607320086004518E-3</v>
      </c>
      <c r="P25" s="1">
        <f t="shared" si="5"/>
        <v>0</v>
      </c>
      <c r="Q25">
        <f t="shared" si="6"/>
        <v>0</v>
      </c>
      <c r="R25" s="1">
        <f t="shared" si="7"/>
        <v>2.6817263624428933E-2</v>
      </c>
      <c r="S25">
        <f t="shared" si="8"/>
        <v>1.6607320086004986E-3</v>
      </c>
      <c r="U25" s="1">
        <f t="shared" si="9"/>
        <v>9.7318273637557129E-2</v>
      </c>
      <c r="V25">
        <f t="shared" si="10"/>
        <v>1.6607320086004518E-4</v>
      </c>
      <c r="W25" s="1">
        <f t="shared" si="11"/>
        <v>0</v>
      </c>
      <c r="X25">
        <f t="shared" si="12"/>
        <v>0</v>
      </c>
      <c r="Y25" s="1">
        <f t="shared" si="13"/>
        <v>2.6817263624428936E-3</v>
      </c>
      <c r="Z25">
        <f t="shared" si="14"/>
        <v>1.6607320086004987E-4</v>
      </c>
    </row>
    <row r="26" spans="2:26" ht="15" x14ac:dyDescent="0.2">
      <c r="B26">
        <v>37.31666666666667</v>
      </c>
      <c r="C26">
        <v>0.99093909881219</v>
      </c>
      <c r="D26">
        <v>0</v>
      </c>
      <c r="E26">
        <v>9.0609011878099357E-3</v>
      </c>
      <c r="G26">
        <v>37.333333333333336</v>
      </c>
      <c r="H26">
        <v>0.9898857655572938</v>
      </c>
      <c r="I26">
        <v>0</v>
      </c>
      <c r="J26">
        <v>1.0114234442706203E-2</v>
      </c>
      <c r="L26" s="6">
        <f t="shared" si="1"/>
        <v>37.325000000000003</v>
      </c>
      <c r="M26" s="7">
        <f t="shared" si="2"/>
        <v>8.3333333333328596E-3</v>
      </c>
      <c r="N26" s="1">
        <f t="shared" si="3"/>
        <v>0.99041243218474184</v>
      </c>
      <c r="O26">
        <f t="shared" si="4"/>
        <v>5.2666662744810244E-4</v>
      </c>
      <c r="P26" s="1">
        <f t="shared" si="5"/>
        <v>0</v>
      </c>
      <c r="Q26">
        <f t="shared" si="6"/>
        <v>0</v>
      </c>
      <c r="R26" s="1">
        <f t="shared" si="7"/>
        <v>9.5875678152580694E-3</v>
      </c>
      <c r="S26">
        <f t="shared" si="8"/>
        <v>5.2666662744813367E-4</v>
      </c>
      <c r="U26" s="1">
        <f t="shared" si="9"/>
        <v>9.9041243218474184E-2</v>
      </c>
      <c r="V26">
        <f t="shared" si="10"/>
        <v>5.2666662744810244E-5</v>
      </c>
      <c r="W26" s="1">
        <f t="shared" si="11"/>
        <v>0</v>
      </c>
      <c r="X26">
        <f t="shared" si="12"/>
        <v>0</v>
      </c>
      <c r="Y26" s="1">
        <f t="shared" si="13"/>
        <v>9.5875678152580702E-4</v>
      </c>
      <c r="Z26">
        <f t="shared" si="14"/>
        <v>5.2666662744813368E-5</v>
      </c>
    </row>
    <row r="27" spans="2:26" ht="15" x14ac:dyDescent="0.2">
      <c r="B27">
        <v>46.06666666666667</v>
      </c>
      <c r="C27">
        <v>0.99665745374646963</v>
      </c>
      <c r="D27">
        <v>0</v>
      </c>
      <c r="E27">
        <v>3.3425462535304476E-3</v>
      </c>
      <c r="G27">
        <v>46.083333333333336</v>
      </c>
      <c r="H27">
        <v>0.99615240695357932</v>
      </c>
      <c r="I27">
        <v>0</v>
      </c>
      <c r="J27">
        <v>3.8475930464206454E-3</v>
      </c>
      <c r="L27" s="6">
        <f t="shared" si="1"/>
        <v>46.075000000000003</v>
      </c>
      <c r="M27" s="7">
        <f t="shared" si="2"/>
        <v>8.3333333333328596E-3</v>
      </c>
      <c r="N27" s="1">
        <f t="shared" si="3"/>
        <v>0.99640493035002442</v>
      </c>
      <c r="O27">
        <f t="shared" si="4"/>
        <v>2.5252339644515898E-4</v>
      </c>
      <c r="P27" s="1">
        <f t="shared" si="5"/>
        <v>0</v>
      </c>
      <c r="Q27">
        <f t="shared" si="6"/>
        <v>0</v>
      </c>
      <c r="R27" s="1">
        <f t="shared" si="7"/>
        <v>3.5950696499755467E-3</v>
      </c>
      <c r="S27">
        <f t="shared" si="8"/>
        <v>2.5252339644509891E-4</v>
      </c>
      <c r="U27" s="1">
        <f t="shared" si="9"/>
        <v>9.9640493035002442E-2</v>
      </c>
      <c r="V27">
        <f t="shared" si="10"/>
        <v>2.52523396445159E-5</v>
      </c>
      <c r="W27" s="1">
        <f t="shared" si="11"/>
        <v>0</v>
      </c>
      <c r="X27">
        <f t="shared" si="12"/>
        <v>0</v>
      </c>
      <c r="Y27" s="1">
        <f t="shared" si="13"/>
        <v>3.5950696499755468E-4</v>
      </c>
      <c r="Z27">
        <f t="shared" si="14"/>
        <v>2.5252339644509893E-5</v>
      </c>
    </row>
    <row r="28" spans="2:26" ht="15" x14ac:dyDescent="0.2">
      <c r="B28">
        <v>61.68333333333333</v>
      </c>
      <c r="C28">
        <v>0.9993566810810347</v>
      </c>
      <c r="D28">
        <v>0</v>
      </c>
      <c r="E28">
        <v>6.4331891896524259E-4</v>
      </c>
      <c r="G28">
        <v>61.7</v>
      </c>
      <c r="H28">
        <v>0.99921048998990392</v>
      </c>
      <c r="I28">
        <v>0</v>
      </c>
      <c r="J28">
        <v>7.8951001009609626E-4</v>
      </c>
      <c r="L28" s="6">
        <f t="shared" si="1"/>
        <v>61.691666666666663</v>
      </c>
      <c r="M28" s="7">
        <f>_xlfn.STDEV.P(B28,G28)</f>
        <v>8.3333333333364124E-3</v>
      </c>
      <c r="N28" s="1">
        <f t="shared" si="3"/>
        <v>0.99928358553546937</v>
      </c>
      <c r="O28">
        <f t="shared" si="4"/>
        <v>7.309554556539366E-5</v>
      </c>
      <c r="P28" s="1">
        <f t="shared" si="5"/>
        <v>0</v>
      </c>
      <c r="Q28">
        <f t="shared" si="6"/>
        <v>0</v>
      </c>
      <c r="R28" s="1">
        <f t="shared" si="7"/>
        <v>7.1641446453066943E-4</v>
      </c>
      <c r="S28">
        <f t="shared" si="8"/>
        <v>7.3095545565426837E-5</v>
      </c>
      <c r="U28" s="1">
        <f t="shared" si="9"/>
        <v>9.9928358553546939E-2</v>
      </c>
      <c r="V28">
        <f t="shared" si="10"/>
        <v>7.3095545565393662E-6</v>
      </c>
      <c r="W28" s="1">
        <f t="shared" si="11"/>
        <v>0</v>
      </c>
      <c r="X28">
        <f t="shared" si="12"/>
        <v>0</v>
      </c>
      <c r="Y28" s="1">
        <f t="shared" si="13"/>
        <v>7.164144645306694E-5</v>
      </c>
      <c r="Z28">
        <f t="shared" si="14"/>
        <v>7.309554556542684E-6</v>
      </c>
    </row>
    <row r="33" spans="1:34" ht="16.05" x14ac:dyDescent="0.2">
      <c r="B33" s="3"/>
    </row>
    <row r="35" spans="1:34" ht="15" x14ac:dyDescent="0.2">
      <c r="B35" t="s">
        <v>206</v>
      </c>
      <c r="I35" t="s">
        <v>207</v>
      </c>
      <c r="P35" s="6" t="s">
        <v>195</v>
      </c>
      <c r="Q35" s="7"/>
      <c r="R35" s="1" t="s">
        <v>203</v>
      </c>
      <c r="AA35" s="1" t="s">
        <v>216</v>
      </c>
    </row>
    <row r="36" spans="1:34" ht="15" x14ac:dyDescent="0.2">
      <c r="A36" t="s">
        <v>205</v>
      </c>
      <c r="B36" t="s">
        <v>10</v>
      </c>
      <c r="C36" t="s">
        <v>1</v>
      </c>
      <c r="D36" t="s">
        <v>2</v>
      </c>
      <c r="E36" t="s">
        <v>18</v>
      </c>
      <c r="F36" t="s">
        <v>4</v>
      </c>
      <c r="G36" t="s">
        <v>8</v>
      </c>
      <c r="I36" t="s">
        <v>10</v>
      </c>
      <c r="J36" t="s">
        <v>1</v>
      </c>
      <c r="K36" t="s">
        <v>2</v>
      </c>
      <c r="L36" t="s">
        <v>18</v>
      </c>
      <c r="M36" t="s">
        <v>4</v>
      </c>
      <c r="N36" t="s">
        <v>8</v>
      </c>
      <c r="P36" s="6" t="s">
        <v>20</v>
      </c>
      <c r="Q36" s="7" t="s">
        <v>198</v>
      </c>
      <c r="R36" s="1" t="s">
        <v>211</v>
      </c>
      <c r="S36" t="s">
        <v>212</v>
      </c>
      <c r="T36" s="1" t="s">
        <v>2</v>
      </c>
      <c r="U36" t="s">
        <v>213</v>
      </c>
      <c r="V36" s="1" t="s">
        <v>3</v>
      </c>
      <c r="W36" t="s">
        <v>214</v>
      </c>
      <c r="X36" s="1" t="s">
        <v>24</v>
      </c>
      <c r="Y36" t="s">
        <v>215</v>
      </c>
      <c r="AA36" s="1" t="s">
        <v>211</v>
      </c>
      <c r="AB36" t="s">
        <v>212</v>
      </c>
      <c r="AC36" s="1" t="s">
        <v>2</v>
      </c>
      <c r="AD36" t="s">
        <v>213</v>
      </c>
      <c r="AE36" s="1" t="s">
        <v>3</v>
      </c>
      <c r="AF36" t="s">
        <v>214</v>
      </c>
      <c r="AG36" s="1" t="s">
        <v>24</v>
      </c>
      <c r="AH36" t="s">
        <v>215</v>
      </c>
    </row>
    <row r="37" spans="1:34" ht="15" x14ac:dyDescent="0.2">
      <c r="B37">
        <v>0</v>
      </c>
      <c r="D37">
        <v>0</v>
      </c>
      <c r="E37">
        <v>0</v>
      </c>
      <c r="F37">
        <v>0</v>
      </c>
      <c r="G37">
        <v>1</v>
      </c>
      <c r="I37">
        <v>0</v>
      </c>
      <c r="K37">
        <v>0</v>
      </c>
      <c r="L37">
        <v>0</v>
      </c>
      <c r="M37">
        <v>0</v>
      </c>
      <c r="N37">
        <v>1</v>
      </c>
      <c r="P37" s="6">
        <f>AVERAGE(B37,I37)</f>
        <v>0</v>
      </c>
      <c r="Q37" s="7">
        <f>_xlfn.STDEV.P(B37,I37)</f>
        <v>0</v>
      </c>
      <c r="R37" s="1">
        <f>AVERAGE(G37,N37)</f>
        <v>1</v>
      </c>
      <c r="S37">
        <f>_xlfn.STDEV.P(G37,N37)</f>
        <v>0</v>
      </c>
      <c r="T37" s="1">
        <f>AVERAGE(D37,K37)</f>
        <v>0</v>
      </c>
      <c r="U37">
        <f>_xlfn.STDEV.P(D37,K37)</f>
        <v>0</v>
      </c>
      <c r="V37" s="1">
        <f>AVERAGE(E37,L37)</f>
        <v>0</v>
      </c>
      <c r="W37">
        <f>_xlfn.STDEV.P(E37,L37)</f>
        <v>0</v>
      </c>
      <c r="X37" s="1">
        <f>AVERAGE(F37,M37)</f>
        <v>0</v>
      </c>
      <c r="Y37">
        <f>_xlfn.STDEV.P(F37,M37)</f>
        <v>0</v>
      </c>
      <c r="AA37">
        <f>R37*0.1</f>
        <v>0.1</v>
      </c>
      <c r="AB37">
        <f t="shared" ref="AB37:AH37" si="15">S37*0.1</f>
        <v>0</v>
      </c>
      <c r="AC37">
        <f t="shared" si="15"/>
        <v>0</v>
      </c>
      <c r="AD37">
        <f t="shared" si="15"/>
        <v>0</v>
      </c>
      <c r="AE37">
        <f t="shared" si="15"/>
        <v>0</v>
      </c>
      <c r="AF37">
        <f t="shared" si="15"/>
        <v>0</v>
      </c>
      <c r="AG37">
        <f t="shared" si="15"/>
        <v>0</v>
      </c>
      <c r="AH37">
        <f t="shared" si="15"/>
        <v>0</v>
      </c>
    </row>
    <row r="38" spans="1:34" ht="15" x14ac:dyDescent="0.2">
      <c r="B38">
        <v>6.6666666666666666E-2</v>
      </c>
      <c r="C38">
        <v>0.95095570383974459</v>
      </c>
      <c r="D38">
        <v>2.9459532868050583E-2</v>
      </c>
      <c r="E38">
        <v>2.4600536703881346E-3</v>
      </c>
      <c r="F38">
        <v>3.5797891479453711E-4</v>
      </c>
      <c r="G38">
        <v>0.96772243454676665</v>
      </c>
      <c r="I38">
        <v>3.3333333333333333E-2</v>
      </c>
      <c r="J38">
        <v>0.98069566456800283</v>
      </c>
      <c r="K38">
        <v>7.8348678851860275E-3</v>
      </c>
      <c r="L38">
        <v>5.2163773732410198E-4</v>
      </c>
      <c r="M38">
        <v>9.0795499092531009E-3</v>
      </c>
      <c r="N38">
        <v>0.99164349437749</v>
      </c>
      <c r="P38" s="6">
        <f t="shared" ref="P38:P60" si="16">AVERAGE(B38,I38)</f>
        <v>0.05</v>
      </c>
      <c r="Q38" s="7">
        <f t="shared" ref="Q38:Q60" si="17">_xlfn.STDEV.P(B38,I38)</f>
        <v>1.6666666666666656E-2</v>
      </c>
      <c r="R38" s="1">
        <f>AVERAGE(G38,N38)</f>
        <v>0.97968296446212833</v>
      </c>
      <c r="S38">
        <f t="shared" ref="S38:S60" si="18">_xlfn.STDEV.P(G38,N38)</f>
        <v>1.1960529915361673E-2</v>
      </c>
      <c r="T38" s="1">
        <f t="shared" ref="T38:T60" si="19">AVERAGE(D38,K38)</f>
        <v>1.8647200376618305E-2</v>
      </c>
      <c r="U38">
        <f t="shared" ref="U38:U60" si="20">_xlfn.STDEV.P(D38,K38)</f>
        <v>1.0812332491432276E-2</v>
      </c>
      <c r="V38" s="1">
        <f t="shared" ref="V38:V60" si="21">AVERAGE(E38,L38)</f>
        <v>1.4908457038561183E-3</v>
      </c>
      <c r="W38">
        <f t="shared" ref="W38:W60" si="22">_xlfn.STDEV.P(E38,L38)</f>
        <v>9.6920796653201624E-4</v>
      </c>
      <c r="X38" s="1">
        <f t="shared" ref="X38:X60" si="23">AVERAGE(F38,M38)</f>
        <v>4.718764412023819E-3</v>
      </c>
      <c r="Y38">
        <f t="shared" ref="Y38:Y60" si="24">_xlfn.STDEV.P(F38,M38)</f>
        <v>4.360785497229281E-3</v>
      </c>
      <c r="AA38">
        <f t="shared" ref="AA38:AA60" si="25">R38*0.1</f>
        <v>9.7968296446212841E-2</v>
      </c>
      <c r="AB38">
        <f t="shared" ref="AB38:AB60" si="26">S38*0.1</f>
        <v>1.1960529915361674E-3</v>
      </c>
      <c r="AC38">
        <f t="shared" ref="AC38:AC60" si="27">T38*0.1</f>
        <v>1.8647200376618305E-3</v>
      </c>
      <c r="AD38">
        <f t="shared" ref="AD38:AD60" si="28">U38*0.1</f>
        <v>1.0812332491432276E-3</v>
      </c>
      <c r="AE38">
        <f t="shared" ref="AE38:AE60" si="29">V38*0.1</f>
        <v>1.4908457038561185E-4</v>
      </c>
      <c r="AF38">
        <f t="shared" ref="AF38:AF60" si="30">W38*0.1</f>
        <v>9.6920796653201632E-5</v>
      </c>
      <c r="AG38">
        <f t="shared" ref="AG38:AG60" si="31">X38*0.1</f>
        <v>4.718764412023819E-4</v>
      </c>
      <c r="AH38">
        <f t="shared" ref="AH38:AH60" si="32">Y38*0.1</f>
        <v>4.360785497229281E-4</v>
      </c>
    </row>
    <row r="39" spans="1:34" ht="15" x14ac:dyDescent="0.2">
      <c r="B39">
        <v>0.68333333333333335</v>
      </c>
      <c r="C39">
        <v>0.77707409736452904</v>
      </c>
      <c r="D39">
        <v>0.14787358934734549</v>
      </c>
      <c r="E39">
        <v>3.7107879315028923E-2</v>
      </c>
      <c r="F39">
        <v>2.4804422994728967E-4</v>
      </c>
      <c r="G39">
        <v>0.8147704871076783</v>
      </c>
      <c r="I39">
        <v>0.65</v>
      </c>
      <c r="J39">
        <v>0.7829329493905488</v>
      </c>
      <c r="K39">
        <v>0.14564982266257784</v>
      </c>
      <c r="L39">
        <v>3.296468588085754E-2</v>
      </c>
      <c r="M39">
        <v>2.7339058900766679E-4</v>
      </c>
      <c r="N39">
        <v>0.82111210086755715</v>
      </c>
      <c r="P39" s="6">
        <f t="shared" si="16"/>
        <v>0.66666666666666674</v>
      </c>
      <c r="Q39" s="7">
        <f t="shared" si="17"/>
        <v>1.6666666666666663E-2</v>
      </c>
      <c r="R39" s="1">
        <f t="shared" ref="R39:R60" si="33">AVERAGE(G39,N39)</f>
        <v>0.81794129398761772</v>
      </c>
      <c r="S39">
        <f>_xlfn.STDEV.P(G39,N39)</f>
        <v>3.1708068799394251E-3</v>
      </c>
      <c r="T39" s="1">
        <f t="shared" si="19"/>
        <v>0.14676170600496166</v>
      </c>
      <c r="U39">
        <f t="shared" si="20"/>
        <v>1.1118833423838237E-3</v>
      </c>
      <c r="V39" s="1">
        <f t="shared" si="21"/>
        <v>3.5036282597943232E-2</v>
      </c>
      <c r="W39">
        <f t="shared" si="22"/>
        <v>2.0715967170856914E-3</v>
      </c>
      <c r="X39" s="1">
        <f t="shared" si="23"/>
        <v>2.6071740947747823E-4</v>
      </c>
      <c r="Y39">
        <f t="shared" si="24"/>
        <v>1.2673179530188559E-5</v>
      </c>
      <c r="AA39">
        <f t="shared" si="25"/>
        <v>8.1794129398761781E-2</v>
      </c>
      <c r="AB39">
        <f t="shared" si="26"/>
        <v>3.1708068799394254E-4</v>
      </c>
      <c r="AC39">
        <f t="shared" si="27"/>
        <v>1.4676170600496167E-2</v>
      </c>
      <c r="AD39">
        <f t="shared" si="28"/>
        <v>1.1118833423838238E-4</v>
      </c>
      <c r="AE39">
        <f t="shared" si="29"/>
        <v>3.5036282597943232E-3</v>
      </c>
      <c r="AF39">
        <f t="shared" si="30"/>
        <v>2.0715967170856914E-4</v>
      </c>
      <c r="AG39">
        <f t="shared" si="31"/>
        <v>2.6071740947747824E-5</v>
      </c>
      <c r="AH39">
        <f t="shared" si="32"/>
        <v>1.2673179530188559E-6</v>
      </c>
    </row>
    <row r="40" spans="1:34" ht="15" x14ac:dyDescent="0.2">
      <c r="B40">
        <v>1.2833333333333332</v>
      </c>
      <c r="C40">
        <v>0.75633396232201267</v>
      </c>
      <c r="D40">
        <v>0.13411767420150988</v>
      </c>
      <c r="E40">
        <v>6.6187140238959205E-2</v>
      </c>
      <c r="F40">
        <v>7.1157912941762223E-6</v>
      </c>
      <c r="G40">
        <v>0.79964959682942394</v>
      </c>
      <c r="I40">
        <v>1.25</v>
      </c>
      <c r="J40">
        <v>0.76164380546017729</v>
      </c>
      <c r="K40">
        <v>0.13343119684443816</v>
      </c>
      <c r="L40">
        <v>6.1822498549703175E-2</v>
      </c>
      <c r="M40">
        <v>0</v>
      </c>
      <c r="N40">
        <v>0.80470383948089141</v>
      </c>
      <c r="P40" s="6">
        <f t="shared" si="16"/>
        <v>1.2666666666666666</v>
      </c>
      <c r="Q40" s="7">
        <f t="shared" si="17"/>
        <v>1.6666666666666607E-2</v>
      </c>
      <c r="R40" s="1">
        <f t="shared" si="33"/>
        <v>0.80217671815515768</v>
      </c>
      <c r="S40">
        <f t="shared" si="18"/>
        <v>2.5271213257337388E-3</v>
      </c>
      <c r="T40" s="1">
        <f>AVERAGE(D40,K40)</f>
        <v>0.13377443552297402</v>
      </c>
      <c r="U40">
        <f t="shared" si="20"/>
        <v>3.432386785358621E-4</v>
      </c>
      <c r="V40" s="1">
        <f t="shared" si="21"/>
        <v>6.4004819394331197E-2</v>
      </c>
      <c r="W40">
        <f t="shared" si="22"/>
        <v>2.1823208446280148E-3</v>
      </c>
      <c r="X40" s="1">
        <f t="shared" si="23"/>
        <v>3.5578956470881112E-6</v>
      </c>
      <c r="Y40">
        <f t="shared" si="24"/>
        <v>3.5578956470881112E-6</v>
      </c>
      <c r="AA40">
        <f t="shared" si="25"/>
        <v>8.021767181551577E-2</v>
      </c>
      <c r="AB40">
        <f t="shared" si="26"/>
        <v>2.5271213257337387E-4</v>
      </c>
      <c r="AC40">
        <f t="shared" si="27"/>
        <v>1.3377443552297403E-2</v>
      </c>
      <c r="AD40">
        <f t="shared" si="28"/>
        <v>3.4323867853586212E-5</v>
      </c>
      <c r="AE40">
        <f t="shared" si="29"/>
        <v>6.4004819394331202E-3</v>
      </c>
      <c r="AF40">
        <f t="shared" si="30"/>
        <v>2.1823208446280151E-4</v>
      </c>
      <c r="AG40">
        <f t="shared" si="31"/>
        <v>3.5578956470881114E-7</v>
      </c>
      <c r="AH40">
        <f t="shared" si="32"/>
        <v>3.5578956470881114E-7</v>
      </c>
    </row>
    <row r="41" spans="1:34" ht="15" x14ac:dyDescent="0.2">
      <c r="B41">
        <v>1.8833333333333333</v>
      </c>
      <c r="C41">
        <v>0.74120386937516614</v>
      </c>
      <c r="D41">
        <v>0.11578275829315098</v>
      </c>
      <c r="E41">
        <v>9.4793819336620344E-2</v>
      </c>
      <c r="F41">
        <v>0</v>
      </c>
      <c r="G41">
        <v>0.7893437104101042</v>
      </c>
      <c r="I41">
        <v>1.8666666666666667</v>
      </c>
      <c r="J41">
        <v>0.75332284366142366</v>
      </c>
      <c r="K41">
        <v>0.11152586190339642</v>
      </c>
      <c r="L41">
        <v>8.5624537906754783E-2</v>
      </c>
      <c r="M41">
        <v>0</v>
      </c>
      <c r="N41">
        <v>0.80279036847234952</v>
      </c>
      <c r="P41" s="6">
        <f t="shared" si="16"/>
        <v>1.875</v>
      </c>
      <c r="Q41" s="7">
        <f t="shared" si="17"/>
        <v>8.3333333333333037E-3</v>
      </c>
      <c r="R41" s="1">
        <f t="shared" si="33"/>
        <v>0.79606703944122681</v>
      </c>
      <c r="S41">
        <f t="shared" si="18"/>
        <v>6.7233290311226601E-3</v>
      </c>
      <c r="T41" s="1">
        <f t="shared" si="19"/>
        <v>0.1136543100982737</v>
      </c>
      <c r="U41">
        <f>_xlfn.STDEV.P(D41,K41)</f>
        <v>2.128448194877279E-3</v>
      </c>
      <c r="V41" s="1">
        <f t="shared" si="21"/>
        <v>9.0209178621687564E-2</v>
      </c>
      <c r="W41">
        <f t="shared" si="22"/>
        <v>4.5846407149327806E-3</v>
      </c>
      <c r="X41" s="1">
        <f t="shared" si="23"/>
        <v>0</v>
      </c>
      <c r="Y41">
        <f t="shared" si="24"/>
        <v>0</v>
      </c>
      <c r="AA41">
        <f t="shared" si="25"/>
        <v>7.9606703944122684E-2</v>
      </c>
      <c r="AB41">
        <f t="shared" si="26"/>
        <v>6.7233290311226605E-4</v>
      </c>
      <c r="AC41">
        <f t="shared" si="27"/>
        <v>1.136543100982737E-2</v>
      </c>
      <c r="AD41">
        <f t="shared" si="28"/>
        <v>2.128448194877279E-4</v>
      </c>
      <c r="AE41">
        <f t="shared" si="29"/>
        <v>9.0209178621687564E-3</v>
      </c>
      <c r="AF41">
        <f t="shared" si="30"/>
        <v>4.584640714932781E-4</v>
      </c>
      <c r="AG41">
        <f t="shared" si="31"/>
        <v>0</v>
      </c>
      <c r="AH41">
        <f t="shared" si="32"/>
        <v>0</v>
      </c>
    </row>
    <row r="42" spans="1:34" ht="15" x14ac:dyDescent="0.2">
      <c r="B42">
        <v>2.5</v>
      </c>
      <c r="C42">
        <v>0.74558755574784141</v>
      </c>
      <c r="D42">
        <v>9.1173621754230119E-2</v>
      </c>
      <c r="E42">
        <v>0.11008122724732365</v>
      </c>
      <c r="F42">
        <v>0</v>
      </c>
      <c r="G42">
        <v>0.79864793159603731</v>
      </c>
      <c r="I42">
        <v>2.4666666666666668</v>
      </c>
      <c r="J42">
        <v>0.75395683880362241</v>
      </c>
      <c r="K42">
        <v>8.8026423366102141E-2</v>
      </c>
      <c r="L42">
        <v>0.10321779149840683</v>
      </c>
      <c r="M42">
        <v>0</v>
      </c>
      <c r="N42">
        <v>0.80866752500749117</v>
      </c>
      <c r="P42" s="6">
        <f t="shared" si="16"/>
        <v>2.4833333333333334</v>
      </c>
      <c r="Q42" s="7">
        <f t="shared" si="17"/>
        <v>1.6666666666666607E-2</v>
      </c>
      <c r="R42" s="1">
        <f t="shared" si="33"/>
        <v>0.8036577283017643</v>
      </c>
      <c r="S42">
        <f t="shared" si="18"/>
        <v>5.0097967057269321E-3</v>
      </c>
      <c r="T42" s="1">
        <f t="shared" si="19"/>
        <v>8.9600022560166137E-2</v>
      </c>
      <c r="U42">
        <f t="shared" si="20"/>
        <v>1.573599194063989E-3</v>
      </c>
      <c r="V42" s="1">
        <f>AVERAGE(E42,L42)</f>
        <v>0.10664950937286524</v>
      </c>
      <c r="W42">
        <f t="shared" si="22"/>
        <v>3.4317178744584093E-3</v>
      </c>
      <c r="X42" s="1">
        <f t="shared" si="23"/>
        <v>0</v>
      </c>
      <c r="Y42">
        <f t="shared" si="24"/>
        <v>0</v>
      </c>
      <c r="AA42">
        <f t="shared" si="25"/>
        <v>8.036577283017643E-2</v>
      </c>
      <c r="AB42">
        <f t="shared" si="26"/>
        <v>5.0097967057269321E-4</v>
      </c>
      <c r="AC42">
        <f t="shared" si="27"/>
        <v>8.9600022560166141E-3</v>
      </c>
      <c r="AD42">
        <f t="shared" si="28"/>
        <v>1.5735991940639892E-4</v>
      </c>
      <c r="AE42">
        <f t="shared" si="29"/>
        <v>1.0664950937286526E-2</v>
      </c>
      <c r="AF42">
        <f t="shared" si="30"/>
        <v>3.4317178744584093E-4</v>
      </c>
      <c r="AG42">
        <f t="shared" si="31"/>
        <v>0</v>
      </c>
      <c r="AH42">
        <f t="shared" si="32"/>
        <v>0</v>
      </c>
    </row>
    <row r="43" spans="1:34" ht="15" x14ac:dyDescent="0.2">
      <c r="B43">
        <v>3.1</v>
      </c>
      <c r="C43">
        <v>0.73920143004680283</v>
      </c>
      <c r="D43">
        <v>7.5532000632302546E-2</v>
      </c>
      <c r="E43">
        <v>0.12668408860690777</v>
      </c>
      <c r="F43">
        <v>0</v>
      </c>
      <c r="G43">
        <v>0.7976166985563139</v>
      </c>
      <c r="I43">
        <v>3.0666666666666669</v>
      </c>
      <c r="J43">
        <v>0.75379002781661486</v>
      </c>
      <c r="K43">
        <v>7.1839315335819443E-2</v>
      </c>
      <c r="L43">
        <v>0.11523013952795501</v>
      </c>
      <c r="M43">
        <v>0</v>
      </c>
      <c r="N43">
        <v>0.81281705201497667</v>
      </c>
      <c r="P43" s="6">
        <f t="shared" si="16"/>
        <v>3.0833333333333335</v>
      </c>
      <c r="Q43" s="7">
        <f t="shared" si="17"/>
        <v>1.6666666666666607E-2</v>
      </c>
      <c r="R43" s="1">
        <f t="shared" si="33"/>
        <v>0.80521687528564523</v>
      </c>
      <c r="S43">
        <f t="shared" si="18"/>
        <v>7.6001767293313871E-3</v>
      </c>
      <c r="T43" s="1">
        <f t="shared" si="19"/>
        <v>7.3685657984060987E-2</v>
      </c>
      <c r="U43">
        <f t="shared" si="20"/>
        <v>1.8463426482415515E-3</v>
      </c>
      <c r="V43" s="1">
        <f t="shared" si="21"/>
        <v>0.1209571140674314</v>
      </c>
      <c r="W43">
        <f>_xlfn.STDEV.P(E43,L43)</f>
        <v>5.726974539476383E-3</v>
      </c>
      <c r="X43" s="1">
        <f t="shared" si="23"/>
        <v>0</v>
      </c>
      <c r="Y43">
        <f t="shared" si="24"/>
        <v>0</v>
      </c>
      <c r="AA43">
        <f t="shared" si="25"/>
        <v>8.0521687528564534E-2</v>
      </c>
      <c r="AB43">
        <f t="shared" si="26"/>
        <v>7.6001767293313878E-4</v>
      </c>
      <c r="AC43">
        <f t="shared" si="27"/>
        <v>7.3685657984060987E-3</v>
      </c>
      <c r="AD43">
        <f t="shared" si="28"/>
        <v>1.8463426482415515E-4</v>
      </c>
      <c r="AE43">
        <f t="shared" si="29"/>
        <v>1.2095711406743141E-2</v>
      </c>
      <c r="AF43">
        <f t="shared" si="30"/>
        <v>5.7269745394763832E-4</v>
      </c>
      <c r="AG43">
        <f t="shared" si="31"/>
        <v>0</v>
      </c>
      <c r="AH43">
        <f t="shared" si="32"/>
        <v>0</v>
      </c>
    </row>
    <row r="44" spans="1:34" ht="15" x14ac:dyDescent="0.2">
      <c r="B44">
        <v>3.7</v>
      </c>
      <c r="C44">
        <v>0.74370161510112009</v>
      </c>
      <c r="D44">
        <v>6.0688373387299953E-2</v>
      </c>
      <c r="E44">
        <v>0.13256615380733094</v>
      </c>
      <c r="F44">
        <v>0</v>
      </c>
      <c r="G44">
        <v>0.80658986997531124</v>
      </c>
      <c r="I44">
        <v>3.6833333333333336</v>
      </c>
      <c r="J44">
        <v>0.74756311915863982</v>
      </c>
      <c r="K44">
        <v>5.8509336813019695E-2</v>
      </c>
      <c r="L44">
        <v>0.12950162640082483</v>
      </c>
      <c r="M44">
        <v>0</v>
      </c>
      <c r="N44">
        <v>0.81185485173389338</v>
      </c>
      <c r="P44" s="6">
        <f t="shared" si="16"/>
        <v>3.6916666666666669</v>
      </c>
      <c r="Q44" s="7">
        <f t="shared" si="17"/>
        <v>8.3333333333333037E-3</v>
      </c>
      <c r="R44" s="1">
        <f t="shared" si="33"/>
        <v>0.80922236085460231</v>
      </c>
      <c r="S44">
        <f t="shared" si="18"/>
        <v>2.6324908792910717E-3</v>
      </c>
      <c r="T44" s="1">
        <f t="shared" si="19"/>
        <v>5.9598855100159824E-2</v>
      </c>
      <c r="U44">
        <f t="shared" si="20"/>
        <v>1.0895182871401288E-3</v>
      </c>
      <c r="V44" s="1">
        <f t="shared" si="21"/>
        <v>0.1310338901040779</v>
      </c>
      <c r="W44">
        <f t="shared" si="22"/>
        <v>1.5322637032530589E-3</v>
      </c>
      <c r="X44" s="1">
        <f t="shared" si="23"/>
        <v>0</v>
      </c>
      <c r="Y44">
        <f t="shared" si="24"/>
        <v>0</v>
      </c>
      <c r="AA44">
        <f t="shared" si="25"/>
        <v>8.0922236085460231E-2</v>
      </c>
      <c r="AB44">
        <f t="shared" si="26"/>
        <v>2.6324908792910721E-4</v>
      </c>
      <c r="AC44">
        <f t="shared" si="27"/>
        <v>5.9598855100159824E-3</v>
      </c>
      <c r="AD44">
        <f t="shared" si="28"/>
        <v>1.0895182871401288E-4</v>
      </c>
      <c r="AE44">
        <f t="shared" si="29"/>
        <v>1.3103389010407791E-2</v>
      </c>
      <c r="AF44">
        <f t="shared" si="30"/>
        <v>1.5322637032530592E-4</v>
      </c>
      <c r="AG44">
        <f t="shared" si="31"/>
        <v>0</v>
      </c>
      <c r="AH44">
        <f t="shared" si="32"/>
        <v>0</v>
      </c>
    </row>
    <row r="45" spans="1:34" ht="15" x14ac:dyDescent="0.2">
      <c r="B45">
        <v>4.3166666666666664</v>
      </c>
      <c r="C45">
        <v>0.73699612987324981</v>
      </c>
      <c r="D45">
        <v>4.996287080214358E-2</v>
      </c>
      <c r="E45">
        <v>0.14283268876434724</v>
      </c>
      <c r="F45">
        <v>0</v>
      </c>
      <c r="G45">
        <v>0.80702211606241403</v>
      </c>
      <c r="I45">
        <v>4.2833333333333332</v>
      </c>
      <c r="J45">
        <v>0.74957586312895841</v>
      </c>
      <c r="K45">
        <v>4.7802014779924691E-2</v>
      </c>
      <c r="L45">
        <v>0.13352039694234707</v>
      </c>
      <c r="M45">
        <v>0</v>
      </c>
      <c r="N45">
        <v>0.81849589823804847</v>
      </c>
      <c r="P45" s="6">
        <f t="shared" si="16"/>
        <v>4.3</v>
      </c>
      <c r="Q45" s="7">
        <f t="shared" si="17"/>
        <v>1.6666666666666607E-2</v>
      </c>
      <c r="R45" s="1">
        <f t="shared" si="33"/>
        <v>0.81275900715023131</v>
      </c>
      <c r="S45">
        <f t="shared" si="18"/>
        <v>5.7368910878172197E-3</v>
      </c>
      <c r="T45" s="1">
        <f t="shared" si="19"/>
        <v>4.8882442791034139E-2</v>
      </c>
      <c r="U45">
        <f t="shared" si="20"/>
        <v>1.0804280111094446E-3</v>
      </c>
      <c r="V45" s="1">
        <f t="shared" si="21"/>
        <v>0.13817654285334716</v>
      </c>
      <c r="W45">
        <f t="shared" si="22"/>
        <v>4.6561459110000813E-3</v>
      </c>
      <c r="X45" s="1">
        <f t="shared" si="23"/>
        <v>0</v>
      </c>
      <c r="Y45">
        <f t="shared" si="24"/>
        <v>0</v>
      </c>
      <c r="AA45">
        <f t="shared" si="25"/>
        <v>8.1275900715023136E-2</v>
      </c>
      <c r="AB45">
        <f t="shared" si="26"/>
        <v>5.7368910878172197E-4</v>
      </c>
      <c r="AC45">
        <f t="shared" si="27"/>
        <v>4.8882442791034139E-3</v>
      </c>
      <c r="AD45">
        <f t="shared" si="28"/>
        <v>1.0804280111094446E-4</v>
      </c>
      <c r="AE45">
        <f t="shared" si="29"/>
        <v>1.3817654285334716E-2</v>
      </c>
      <c r="AF45">
        <f t="shared" si="30"/>
        <v>4.6561459110000818E-4</v>
      </c>
      <c r="AG45">
        <f t="shared" si="31"/>
        <v>0</v>
      </c>
      <c r="AH45">
        <f t="shared" si="32"/>
        <v>0</v>
      </c>
    </row>
    <row r="46" spans="1:34" ht="15" x14ac:dyDescent="0.2">
      <c r="B46">
        <v>4.916666666666667</v>
      </c>
      <c r="C46">
        <v>0.74126564883466728</v>
      </c>
      <c r="D46">
        <v>4.010228655558682E-2</v>
      </c>
      <c r="E46">
        <v>0.14734964816832799</v>
      </c>
      <c r="F46">
        <v>0</v>
      </c>
      <c r="G46">
        <v>0.81233940949729777</v>
      </c>
      <c r="I46">
        <v>4.8833333333333337</v>
      </c>
      <c r="J46">
        <v>0.74808651704314266</v>
      </c>
      <c r="K46">
        <v>3.9890921404319851E-2</v>
      </c>
      <c r="L46">
        <v>0.13887322188645984</v>
      </c>
      <c r="M46">
        <v>0</v>
      </c>
      <c r="N46">
        <v>0.82100848254903958</v>
      </c>
      <c r="P46" s="6">
        <f t="shared" si="16"/>
        <v>4.9000000000000004</v>
      </c>
      <c r="Q46" s="7">
        <f t="shared" si="17"/>
        <v>1.6666666666666607E-2</v>
      </c>
      <c r="R46" s="1">
        <f t="shared" si="33"/>
        <v>0.81667394602316867</v>
      </c>
      <c r="S46">
        <f t="shared" si="18"/>
        <v>4.3345365258709023E-3</v>
      </c>
      <c r="T46" s="1">
        <f t="shared" si="19"/>
        <v>3.9996603979953332E-2</v>
      </c>
      <c r="U46">
        <f t="shared" si="20"/>
        <v>1.0568257563348463E-4</v>
      </c>
      <c r="V46" s="1">
        <f t="shared" si="21"/>
        <v>0.14311143502739393</v>
      </c>
      <c r="W46">
        <f t="shared" si="22"/>
        <v>4.2382131409340745E-3</v>
      </c>
      <c r="X46" s="1">
        <f t="shared" si="23"/>
        <v>0</v>
      </c>
      <c r="Y46">
        <f t="shared" si="24"/>
        <v>0</v>
      </c>
      <c r="AA46">
        <f t="shared" si="25"/>
        <v>8.1667394602316867E-2</v>
      </c>
      <c r="AB46">
        <f t="shared" si="26"/>
        <v>4.3345365258709025E-4</v>
      </c>
      <c r="AC46">
        <f t="shared" si="27"/>
        <v>3.9996603979953332E-3</v>
      </c>
      <c r="AD46">
        <f t="shared" si="28"/>
        <v>1.0568257563348463E-5</v>
      </c>
      <c r="AE46">
        <f t="shared" si="29"/>
        <v>1.4311143502739394E-2</v>
      </c>
      <c r="AF46">
        <f t="shared" si="30"/>
        <v>4.2382131409340749E-4</v>
      </c>
      <c r="AG46">
        <f t="shared" si="31"/>
        <v>0</v>
      </c>
      <c r="AH46">
        <f t="shared" si="32"/>
        <v>0</v>
      </c>
    </row>
    <row r="47" spans="1:34" ht="15" x14ac:dyDescent="0.2">
      <c r="B47">
        <v>5.5333333333333332</v>
      </c>
      <c r="C47">
        <v>0.74552251839062178</v>
      </c>
      <c r="D47">
        <v>3.1960157904285573E-2</v>
      </c>
      <c r="E47">
        <v>0.14658726964253213</v>
      </c>
      <c r="F47">
        <v>0</v>
      </c>
      <c r="G47">
        <v>0.82123064775933552</v>
      </c>
      <c r="I47">
        <v>5.5</v>
      </c>
      <c r="J47">
        <v>0.74432279693993131</v>
      </c>
      <c r="K47">
        <v>3.4594926587379275E-2</v>
      </c>
      <c r="L47">
        <v>0.14460009808467611</v>
      </c>
      <c r="M47">
        <v>0</v>
      </c>
      <c r="N47">
        <v>0.82057484139799353</v>
      </c>
      <c r="P47" s="6">
        <f t="shared" si="16"/>
        <v>5.5166666666666666</v>
      </c>
      <c r="Q47" s="7">
        <f t="shared" si="17"/>
        <v>1.6666666666666607E-2</v>
      </c>
      <c r="R47" s="1">
        <f t="shared" si="33"/>
        <v>0.82090274457866452</v>
      </c>
      <c r="S47">
        <f t="shared" si="18"/>
        <v>3.2790318067099644E-4</v>
      </c>
      <c r="T47" s="1">
        <f t="shared" si="19"/>
        <v>3.3277542245832424E-2</v>
      </c>
      <c r="U47">
        <f t="shared" si="20"/>
        <v>1.3173843415468511E-3</v>
      </c>
      <c r="V47" s="1">
        <f t="shared" si="21"/>
        <v>0.14559368386360411</v>
      </c>
      <c r="W47">
        <f t="shared" si="22"/>
        <v>9.9358577892801059E-4</v>
      </c>
      <c r="X47" s="1">
        <f t="shared" si="23"/>
        <v>0</v>
      </c>
      <c r="Y47">
        <f t="shared" si="24"/>
        <v>0</v>
      </c>
      <c r="AA47">
        <f t="shared" si="25"/>
        <v>8.2090274457866458E-2</v>
      </c>
      <c r="AB47">
        <f t="shared" si="26"/>
        <v>3.2790318067099645E-5</v>
      </c>
      <c r="AC47">
        <f t="shared" si="27"/>
        <v>3.3277542245832427E-3</v>
      </c>
      <c r="AD47">
        <f t="shared" si="28"/>
        <v>1.3173843415468511E-4</v>
      </c>
      <c r="AE47">
        <f t="shared" si="29"/>
        <v>1.4559368386360412E-2</v>
      </c>
      <c r="AF47">
        <f t="shared" si="30"/>
        <v>9.935857789280107E-5</v>
      </c>
      <c r="AG47">
        <f t="shared" si="31"/>
        <v>0</v>
      </c>
      <c r="AH47">
        <f t="shared" si="32"/>
        <v>0</v>
      </c>
    </row>
    <row r="48" spans="1:34" ht="15" x14ac:dyDescent="0.2">
      <c r="B48">
        <v>6.1333333333333337</v>
      </c>
      <c r="C48">
        <v>0.74298275796169633</v>
      </c>
      <c r="D48">
        <v>2.653386783513164E-2</v>
      </c>
      <c r="E48">
        <v>0.15042592680667527</v>
      </c>
      <c r="F48">
        <v>0</v>
      </c>
      <c r="G48">
        <v>0.82277807256749358</v>
      </c>
      <c r="I48">
        <v>6.1</v>
      </c>
      <c r="J48">
        <v>0.75314889100177285</v>
      </c>
      <c r="K48">
        <v>2.6938453338942018E-2</v>
      </c>
      <c r="L48">
        <v>0.13914972150947769</v>
      </c>
      <c r="M48">
        <v>0</v>
      </c>
      <c r="N48">
        <v>0.83368837434651877</v>
      </c>
      <c r="P48" s="6">
        <f t="shared" si="16"/>
        <v>6.1166666666666671</v>
      </c>
      <c r="Q48" s="7">
        <f t="shared" si="17"/>
        <v>1.6666666666667052E-2</v>
      </c>
      <c r="R48" s="1">
        <f t="shared" si="33"/>
        <v>0.82823322345700623</v>
      </c>
      <c r="S48">
        <f t="shared" si="18"/>
        <v>5.4551508895125944E-3</v>
      </c>
      <c r="T48" s="1">
        <f t="shared" si="19"/>
        <v>2.6736160587036831E-2</v>
      </c>
      <c r="U48">
        <f t="shared" si="20"/>
        <v>2.022927519051889E-4</v>
      </c>
      <c r="V48" s="1">
        <f t="shared" si="21"/>
        <v>0.14478782415807648</v>
      </c>
      <c r="W48">
        <f t="shared" si="22"/>
        <v>5.6381026485987917E-3</v>
      </c>
      <c r="X48" s="1">
        <f t="shared" si="23"/>
        <v>0</v>
      </c>
      <c r="Y48">
        <f t="shared" si="24"/>
        <v>0</v>
      </c>
      <c r="AA48">
        <f t="shared" si="25"/>
        <v>8.2823322345700626E-2</v>
      </c>
      <c r="AB48">
        <f t="shared" si="26"/>
        <v>5.4551508895125944E-4</v>
      </c>
      <c r="AC48">
        <f t="shared" si="27"/>
        <v>2.6736160587036832E-3</v>
      </c>
      <c r="AD48">
        <f t="shared" si="28"/>
        <v>2.022927519051889E-5</v>
      </c>
      <c r="AE48">
        <f t="shared" si="29"/>
        <v>1.4478782415807648E-2</v>
      </c>
      <c r="AF48">
        <f t="shared" si="30"/>
        <v>5.6381026485987924E-4</v>
      </c>
      <c r="AG48">
        <f t="shared" si="31"/>
        <v>0</v>
      </c>
      <c r="AH48">
        <f t="shared" si="32"/>
        <v>0</v>
      </c>
    </row>
    <row r="49" spans="2:34" ht="15" x14ac:dyDescent="0.2">
      <c r="B49">
        <v>6.7333333333333334</v>
      </c>
      <c r="C49">
        <v>0.73020204172449132</v>
      </c>
      <c r="D49">
        <v>2.3557620725055052E-2</v>
      </c>
      <c r="E49">
        <v>0.16050110922457522</v>
      </c>
      <c r="F49">
        <v>0</v>
      </c>
      <c r="G49">
        <v>0.81562500529647997</v>
      </c>
      <c r="I49">
        <v>6.7</v>
      </c>
      <c r="J49">
        <v>0.74967033028239871</v>
      </c>
      <c r="K49">
        <v>2.2176033457520984E-2</v>
      </c>
      <c r="L49">
        <v>0.14211690141173089</v>
      </c>
      <c r="M49">
        <v>0</v>
      </c>
      <c r="N49">
        <v>0.83542719585079617</v>
      </c>
      <c r="P49" s="6">
        <f t="shared" si="16"/>
        <v>6.7166666666666668</v>
      </c>
      <c r="Q49" s="7">
        <f t="shared" si="17"/>
        <v>1.6666666666666607E-2</v>
      </c>
      <c r="R49" s="1">
        <f t="shared" si="33"/>
        <v>0.82552610057363807</v>
      </c>
      <c r="S49">
        <f t="shared" si="18"/>
        <v>9.9010952771581007E-3</v>
      </c>
      <c r="T49" s="1">
        <f t="shared" si="19"/>
        <v>2.2866827091288018E-2</v>
      </c>
      <c r="U49">
        <f t="shared" si="20"/>
        <v>6.9079363376703395E-4</v>
      </c>
      <c r="V49" s="1">
        <f t="shared" si="21"/>
        <v>0.15130900531815306</v>
      </c>
      <c r="W49">
        <f t="shared" si="22"/>
        <v>9.1921039064221666E-3</v>
      </c>
      <c r="X49" s="1">
        <f t="shared" si="23"/>
        <v>0</v>
      </c>
      <c r="Y49">
        <f t="shared" si="24"/>
        <v>0</v>
      </c>
      <c r="AA49">
        <f t="shared" si="25"/>
        <v>8.2552610057363807E-2</v>
      </c>
      <c r="AB49">
        <f t="shared" si="26"/>
        <v>9.9010952771581015E-4</v>
      </c>
      <c r="AC49">
        <f t="shared" si="27"/>
        <v>2.2866827091288021E-3</v>
      </c>
      <c r="AD49">
        <f t="shared" si="28"/>
        <v>6.9079363376703395E-5</v>
      </c>
      <c r="AE49">
        <f t="shared" si="29"/>
        <v>1.5130900531815306E-2</v>
      </c>
      <c r="AF49">
        <f t="shared" si="30"/>
        <v>9.1921039064221666E-4</v>
      </c>
      <c r="AG49">
        <f t="shared" si="31"/>
        <v>0</v>
      </c>
      <c r="AH49">
        <f t="shared" si="32"/>
        <v>0</v>
      </c>
    </row>
    <row r="50" spans="2:34" ht="15" x14ac:dyDescent="0.2">
      <c r="B50">
        <v>7.35</v>
      </c>
      <c r="C50">
        <v>0.74004453344443422</v>
      </c>
      <c r="D50">
        <v>1.8270381585412037E-2</v>
      </c>
      <c r="E50">
        <v>0.15219528396423757</v>
      </c>
      <c r="F50">
        <v>0</v>
      </c>
      <c r="G50">
        <v>0.82927860541688181</v>
      </c>
      <c r="I50">
        <v>7.3166666666666664</v>
      </c>
      <c r="J50">
        <v>0.74982640519879151</v>
      </c>
      <c r="K50">
        <v>1.874907324820577E-2</v>
      </c>
      <c r="L50">
        <v>0.14320831404093645</v>
      </c>
      <c r="M50">
        <v>0</v>
      </c>
      <c r="N50">
        <v>0.83774778367920733</v>
      </c>
      <c r="P50" s="6">
        <f t="shared" si="16"/>
        <v>7.333333333333333</v>
      </c>
      <c r="Q50" s="7">
        <f t="shared" si="17"/>
        <v>1.6666666666666607E-2</v>
      </c>
      <c r="R50" s="1">
        <f t="shared" si="33"/>
        <v>0.83351319454804451</v>
      </c>
      <c r="S50">
        <f t="shared" si="18"/>
        <v>4.2345891311627581E-3</v>
      </c>
      <c r="T50" s="1">
        <f t="shared" si="19"/>
        <v>1.8509727416808903E-2</v>
      </c>
      <c r="U50">
        <f t="shared" si="20"/>
        <v>2.3934583139686647E-4</v>
      </c>
      <c r="V50" s="1">
        <f t="shared" si="21"/>
        <v>0.14770179900258701</v>
      </c>
      <c r="W50">
        <f t="shared" si="22"/>
        <v>4.4934849616505568E-3</v>
      </c>
      <c r="X50" s="1">
        <f t="shared" si="23"/>
        <v>0</v>
      </c>
      <c r="Y50">
        <f t="shared" si="24"/>
        <v>0</v>
      </c>
      <c r="AA50">
        <f t="shared" si="25"/>
        <v>8.3351319454804451E-2</v>
      </c>
      <c r="AB50">
        <f t="shared" si="26"/>
        <v>4.2345891311627583E-4</v>
      </c>
      <c r="AC50">
        <f t="shared" si="27"/>
        <v>1.8509727416808905E-3</v>
      </c>
      <c r="AD50">
        <f t="shared" si="28"/>
        <v>2.3934583139686649E-5</v>
      </c>
      <c r="AE50">
        <f t="shared" si="29"/>
        <v>1.4770179900258702E-2</v>
      </c>
      <c r="AF50">
        <f t="shared" si="30"/>
        <v>4.4934849616505568E-4</v>
      </c>
      <c r="AG50">
        <f t="shared" si="31"/>
        <v>0</v>
      </c>
      <c r="AH50">
        <f t="shared" si="32"/>
        <v>0</v>
      </c>
    </row>
    <row r="51" spans="2:34" ht="15" x14ac:dyDescent="0.2">
      <c r="B51">
        <v>7.95</v>
      </c>
      <c r="C51">
        <v>0.74983384547887855</v>
      </c>
      <c r="D51">
        <v>1.4979660759875902E-2</v>
      </c>
      <c r="E51">
        <v>0.14147636022694479</v>
      </c>
      <c r="F51">
        <v>0</v>
      </c>
      <c r="G51">
        <v>0.84322494776742329</v>
      </c>
      <c r="I51">
        <v>7.916666666666667</v>
      </c>
      <c r="J51">
        <v>0.75178375086611637</v>
      </c>
      <c r="K51">
        <v>1.5981964948790922E-2</v>
      </c>
      <c r="L51">
        <v>0.13930889343842309</v>
      </c>
      <c r="M51">
        <v>0</v>
      </c>
      <c r="N51">
        <v>0.84438378172442752</v>
      </c>
      <c r="P51" s="6">
        <f t="shared" si="16"/>
        <v>7.9333333333333336</v>
      </c>
      <c r="Q51" s="7">
        <f t="shared" si="17"/>
        <v>1.6666666666666607E-2</v>
      </c>
      <c r="R51" s="1">
        <f t="shared" si="33"/>
        <v>0.84380436474592546</v>
      </c>
      <c r="S51">
        <f t="shared" si="18"/>
        <v>5.7941697850211193E-4</v>
      </c>
      <c r="T51" s="1">
        <f t="shared" si="19"/>
        <v>1.5480812854333413E-2</v>
      </c>
      <c r="U51">
        <f t="shared" si="20"/>
        <v>5.0115209445750989E-4</v>
      </c>
      <c r="V51" s="1">
        <f t="shared" si="21"/>
        <v>0.14039262683268394</v>
      </c>
      <c r="W51">
        <f t="shared" si="22"/>
        <v>1.0837333942608496E-3</v>
      </c>
      <c r="X51" s="1">
        <f t="shared" si="23"/>
        <v>0</v>
      </c>
      <c r="Y51">
        <f t="shared" si="24"/>
        <v>0</v>
      </c>
      <c r="AA51">
        <f t="shared" si="25"/>
        <v>8.4380436474592549E-2</v>
      </c>
      <c r="AB51">
        <f t="shared" si="26"/>
        <v>5.7941697850211198E-5</v>
      </c>
      <c r="AC51">
        <f t="shared" si="27"/>
        <v>1.5480812854333414E-3</v>
      </c>
      <c r="AD51">
        <f t="shared" si="28"/>
        <v>5.0115209445750989E-5</v>
      </c>
      <c r="AE51">
        <f t="shared" si="29"/>
        <v>1.4039262683268395E-2</v>
      </c>
      <c r="AF51">
        <f t="shared" si="30"/>
        <v>1.0837333942608496E-4</v>
      </c>
      <c r="AG51">
        <f t="shared" si="31"/>
        <v>0</v>
      </c>
      <c r="AH51">
        <f t="shared" si="32"/>
        <v>0</v>
      </c>
    </row>
    <row r="52" spans="2:34" ht="15" x14ac:dyDescent="0.2">
      <c r="B52">
        <v>8.9833333333333325</v>
      </c>
      <c r="C52">
        <v>0.7413089669591757</v>
      </c>
      <c r="D52">
        <v>1.1271671175162135E-2</v>
      </c>
      <c r="E52">
        <v>0.14555569015688352</v>
      </c>
      <c r="F52">
        <v>0</v>
      </c>
      <c r="G52">
        <v>0.84280384326766666</v>
      </c>
      <c r="I52">
        <v>8.9666666666666668</v>
      </c>
      <c r="J52">
        <v>0.74915606364649934</v>
      </c>
      <c r="K52">
        <v>1.2104030730920824E-2</v>
      </c>
      <c r="L52">
        <v>0.1390348186191554</v>
      </c>
      <c r="M52">
        <v>0</v>
      </c>
      <c r="N52">
        <v>0.84850782991647133</v>
      </c>
      <c r="P52" s="6">
        <f t="shared" si="16"/>
        <v>8.9749999999999996</v>
      </c>
      <c r="Q52" s="7">
        <f t="shared" si="17"/>
        <v>8.3333333333328596E-3</v>
      </c>
      <c r="R52" s="1">
        <f t="shared" si="33"/>
        <v>0.845655836592069</v>
      </c>
      <c r="S52">
        <f t="shared" si="18"/>
        <v>2.8519933244023354E-3</v>
      </c>
      <c r="T52" s="1">
        <f t="shared" si="19"/>
        <v>1.1687850953041479E-2</v>
      </c>
      <c r="U52">
        <f t="shared" si="20"/>
        <v>4.161797778793443E-4</v>
      </c>
      <c r="V52" s="1">
        <f t="shared" si="21"/>
        <v>0.14229525438801946</v>
      </c>
      <c r="W52">
        <f t="shared" si="22"/>
        <v>3.2604357688640617E-3</v>
      </c>
      <c r="X52" s="1">
        <f t="shared" si="23"/>
        <v>0</v>
      </c>
      <c r="Y52">
        <f t="shared" si="24"/>
        <v>0</v>
      </c>
      <c r="AA52">
        <f t="shared" si="25"/>
        <v>8.4565583659206911E-2</v>
      </c>
      <c r="AB52">
        <f t="shared" si="26"/>
        <v>2.8519933244023358E-4</v>
      </c>
      <c r="AC52">
        <f t="shared" si="27"/>
        <v>1.1687850953041479E-3</v>
      </c>
      <c r="AD52">
        <f t="shared" si="28"/>
        <v>4.1617977787934433E-5</v>
      </c>
      <c r="AE52">
        <f t="shared" si="29"/>
        <v>1.4229525438801946E-2</v>
      </c>
      <c r="AF52">
        <f t="shared" si="30"/>
        <v>3.2604357688640619E-4</v>
      </c>
      <c r="AG52">
        <f t="shared" si="31"/>
        <v>0</v>
      </c>
      <c r="AH52">
        <f t="shared" si="32"/>
        <v>0</v>
      </c>
    </row>
    <row r="53" spans="2:34" ht="15" x14ac:dyDescent="0.2">
      <c r="B53">
        <v>10.033333333333333</v>
      </c>
      <c r="C53">
        <v>0.74538382401214898</v>
      </c>
      <c r="D53">
        <v>8.3295102689910569E-3</v>
      </c>
      <c r="E53">
        <v>0.14059242754648404</v>
      </c>
      <c r="F53">
        <v>0</v>
      </c>
      <c r="G53">
        <v>0.85070551612610357</v>
      </c>
      <c r="I53">
        <v>10</v>
      </c>
      <c r="J53">
        <v>0.74684405728104708</v>
      </c>
      <c r="K53">
        <v>9.3529837482956707E-3</v>
      </c>
      <c r="L53">
        <v>0.13361559602482781</v>
      </c>
      <c r="M53">
        <v>0</v>
      </c>
      <c r="N53">
        <v>0.85669027127184449</v>
      </c>
      <c r="P53" s="6">
        <f t="shared" si="16"/>
        <v>10.016666666666666</v>
      </c>
      <c r="Q53" s="7">
        <f t="shared" si="17"/>
        <v>1.6666666666666607E-2</v>
      </c>
      <c r="R53" s="1">
        <f t="shared" si="33"/>
        <v>0.85369789369897409</v>
      </c>
      <c r="S53">
        <f t="shared" si="18"/>
        <v>2.9923775728704638E-3</v>
      </c>
      <c r="T53" s="1">
        <f t="shared" si="19"/>
        <v>8.8412470086433638E-3</v>
      </c>
      <c r="U53">
        <f t="shared" si="20"/>
        <v>5.117367396523069E-4</v>
      </c>
      <c r="V53" s="1">
        <f t="shared" si="21"/>
        <v>0.13710401178565593</v>
      </c>
      <c r="W53">
        <f t="shared" si="22"/>
        <v>3.4884157608281174E-3</v>
      </c>
      <c r="X53" s="1">
        <f t="shared" si="23"/>
        <v>0</v>
      </c>
      <c r="Y53">
        <f t="shared" si="24"/>
        <v>0</v>
      </c>
      <c r="AA53">
        <f t="shared" si="25"/>
        <v>8.536978936989742E-2</v>
      </c>
      <c r="AB53">
        <f t="shared" si="26"/>
        <v>2.9923775728704638E-4</v>
      </c>
      <c r="AC53">
        <f t="shared" si="27"/>
        <v>8.8412470086433642E-4</v>
      </c>
      <c r="AD53">
        <f t="shared" si="28"/>
        <v>5.117367396523069E-5</v>
      </c>
      <c r="AE53">
        <f t="shared" si="29"/>
        <v>1.3710401178565593E-2</v>
      </c>
      <c r="AF53">
        <f t="shared" si="30"/>
        <v>3.4884157608281179E-4</v>
      </c>
      <c r="AG53">
        <f t="shared" si="31"/>
        <v>0</v>
      </c>
      <c r="AH53">
        <f t="shared" si="32"/>
        <v>0</v>
      </c>
    </row>
    <row r="54" spans="2:34" ht="15" x14ac:dyDescent="0.2">
      <c r="B54">
        <v>14.2</v>
      </c>
      <c r="C54">
        <v>0.75151638166009138</v>
      </c>
      <c r="D54">
        <v>2.6295745283591676E-3</v>
      </c>
      <c r="E54">
        <v>0.11416572795947315</v>
      </c>
      <c r="F54">
        <v>0</v>
      </c>
      <c r="G54">
        <v>0.8828285475206622</v>
      </c>
      <c r="I54">
        <v>14.166666666666666</v>
      </c>
      <c r="J54">
        <v>0.75401096351255337</v>
      </c>
      <c r="K54">
        <v>3.0968278004684241E-3</v>
      </c>
      <c r="L54">
        <v>0.10798226828160672</v>
      </c>
      <c r="M54">
        <v>0</v>
      </c>
      <c r="N54">
        <v>0.88853969035311708</v>
      </c>
      <c r="P54" s="6">
        <f t="shared" si="16"/>
        <v>14.183333333333334</v>
      </c>
      <c r="Q54" s="7">
        <f t="shared" si="17"/>
        <v>1.6666666666666607E-2</v>
      </c>
      <c r="R54" s="1">
        <f t="shared" si="33"/>
        <v>0.88568411893688959</v>
      </c>
      <c r="S54">
        <f t="shared" si="18"/>
        <v>2.8555714162274426E-3</v>
      </c>
      <c r="T54" s="1">
        <f t="shared" si="19"/>
        <v>2.8632011644137961E-3</v>
      </c>
      <c r="U54">
        <f t="shared" si="20"/>
        <v>2.3362663605462825E-4</v>
      </c>
      <c r="V54" s="1">
        <f t="shared" si="21"/>
        <v>0.11107399812053993</v>
      </c>
      <c r="W54">
        <f t="shared" si="22"/>
        <v>3.091729838933216E-3</v>
      </c>
      <c r="X54" s="1">
        <f t="shared" si="23"/>
        <v>0</v>
      </c>
      <c r="Y54">
        <f t="shared" si="24"/>
        <v>0</v>
      </c>
      <c r="AA54">
        <f t="shared" si="25"/>
        <v>8.856841189368897E-2</v>
      </c>
      <c r="AB54">
        <f t="shared" si="26"/>
        <v>2.8555714162274427E-4</v>
      </c>
      <c r="AC54">
        <f t="shared" si="27"/>
        <v>2.8632011644137961E-4</v>
      </c>
      <c r="AD54">
        <f t="shared" si="28"/>
        <v>2.3362663605462828E-5</v>
      </c>
      <c r="AE54">
        <f t="shared" si="29"/>
        <v>1.1107399812053994E-2</v>
      </c>
      <c r="AF54">
        <f t="shared" si="30"/>
        <v>3.0917298389332161E-4</v>
      </c>
      <c r="AG54">
        <f t="shared" si="31"/>
        <v>0</v>
      </c>
      <c r="AH54">
        <f t="shared" si="32"/>
        <v>0</v>
      </c>
    </row>
    <row r="55" spans="2:34" ht="15" x14ac:dyDescent="0.2">
      <c r="B55">
        <v>23.633333333333333</v>
      </c>
      <c r="C55">
        <v>0.74694314476573465</v>
      </c>
      <c r="D55">
        <v>0</v>
      </c>
      <c r="E55">
        <v>7.2210965903997615E-2</v>
      </c>
      <c r="F55">
        <v>0</v>
      </c>
      <c r="G55">
        <v>0.92751701972931411</v>
      </c>
      <c r="I55">
        <v>23.616666666666667</v>
      </c>
      <c r="J55">
        <v>0.75102794974475962</v>
      </c>
      <c r="K55">
        <v>5.4437191043413974E-4</v>
      </c>
      <c r="L55">
        <v>6.5215119116913647E-2</v>
      </c>
      <c r="M55">
        <v>0</v>
      </c>
      <c r="N55">
        <v>0.93398907848215273</v>
      </c>
      <c r="P55" s="6">
        <f t="shared" si="16"/>
        <v>23.625</v>
      </c>
      <c r="Q55" s="7">
        <f t="shared" si="17"/>
        <v>8.3333333333328596E-3</v>
      </c>
      <c r="R55" s="1">
        <f t="shared" si="33"/>
        <v>0.93075304910573342</v>
      </c>
      <c r="S55">
        <f t="shared" si="18"/>
        <v>3.2360293764193138E-3</v>
      </c>
      <c r="T55" s="1">
        <f t="shared" si="19"/>
        <v>2.7218595521706987E-4</v>
      </c>
      <c r="U55">
        <f t="shared" si="20"/>
        <v>2.7218595521706987E-4</v>
      </c>
      <c r="V55" s="1">
        <f t="shared" si="21"/>
        <v>6.8713042510455624E-2</v>
      </c>
      <c r="W55">
        <f t="shared" si="22"/>
        <v>3.4979233935419837E-3</v>
      </c>
      <c r="X55" s="1">
        <f t="shared" si="23"/>
        <v>0</v>
      </c>
      <c r="Y55">
        <f t="shared" si="24"/>
        <v>0</v>
      </c>
      <c r="AA55">
        <f t="shared" si="25"/>
        <v>9.307530491057335E-2</v>
      </c>
      <c r="AB55">
        <f t="shared" si="26"/>
        <v>3.2360293764193142E-4</v>
      </c>
      <c r="AC55">
        <f t="shared" si="27"/>
        <v>2.721859552170699E-5</v>
      </c>
      <c r="AD55">
        <f t="shared" si="28"/>
        <v>2.721859552170699E-5</v>
      </c>
      <c r="AE55">
        <f t="shared" si="29"/>
        <v>6.8713042510455628E-3</v>
      </c>
      <c r="AF55">
        <f t="shared" si="30"/>
        <v>3.4979233935419842E-4</v>
      </c>
      <c r="AG55">
        <f t="shared" si="31"/>
        <v>0</v>
      </c>
      <c r="AH55">
        <f t="shared" si="32"/>
        <v>0</v>
      </c>
    </row>
    <row r="56" spans="2:34" ht="15" x14ac:dyDescent="0.2">
      <c r="B56">
        <v>27.483333333333334</v>
      </c>
      <c r="C56">
        <v>0.73574101054244689</v>
      </c>
      <c r="D56">
        <v>0</v>
      </c>
      <c r="E56">
        <v>5.9363639375638724E-2</v>
      </c>
      <c r="F56">
        <v>0</v>
      </c>
      <c r="G56">
        <v>0.94042843287363287</v>
      </c>
      <c r="I56">
        <v>27.466666666666665</v>
      </c>
      <c r="J56">
        <v>0.74149496309423912</v>
      </c>
      <c r="K56">
        <v>2.5552952187042003E-4</v>
      </c>
      <c r="L56">
        <v>5.291324753933821E-2</v>
      </c>
      <c r="M56">
        <v>0</v>
      </c>
      <c r="N56">
        <v>0.94657661085472444</v>
      </c>
      <c r="P56" s="6">
        <f t="shared" si="16"/>
        <v>27.475000000000001</v>
      </c>
      <c r="Q56" s="7">
        <f>_xlfn.STDEV.P(B56,I56)</f>
        <v>8.333333333334636E-3</v>
      </c>
      <c r="R56" s="1">
        <f t="shared" si="33"/>
        <v>0.9435025218641786</v>
      </c>
      <c r="S56">
        <f t="shared" si="18"/>
        <v>3.0740889905457869E-3</v>
      </c>
      <c r="T56" s="1">
        <f t="shared" si="19"/>
        <v>1.2776476093521002E-4</v>
      </c>
      <c r="U56">
        <f t="shared" si="20"/>
        <v>1.2776476093521002E-4</v>
      </c>
      <c r="V56" s="1">
        <f t="shared" si="21"/>
        <v>5.6138443457488467E-2</v>
      </c>
      <c r="W56">
        <f t="shared" si="22"/>
        <v>3.2251959181502574E-3</v>
      </c>
      <c r="X56" s="1">
        <f t="shared" si="23"/>
        <v>0</v>
      </c>
      <c r="Y56">
        <f t="shared" si="24"/>
        <v>0</v>
      </c>
      <c r="AA56">
        <f t="shared" si="25"/>
        <v>9.4350252186417863E-2</v>
      </c>
      <c r="AB56">
        <f t="shared" si="26"/>
        <v>3.0740889905457873E-4</v>
      </c>
      <c r="AC56">
        <f t="shared" si="27"/>
        <v>1.2776476093521002E-5</v>
      </c>
      <c r="AD56">
        <f t="shared" si="28"/>
        <v>1.2776476093521002E-5</v>
      </c>
      <c r="AE56">
        <f t="shared" si="29"/>
        <v>5.6138443457488469E-3</v>
      </c>
      <c r="AF56">
        <f t="shared" si="30"/>
        <v>3.2251959181502576E-4</v>
      </c>
      <c r="AG56">
        <f t="shared" si="31"/>
        <v>0</v>
      </c>
      <c r="AH56">
        <f t="shared" si="32"/>
        <v>0</v>
      </c>
    </row>
    <row r="57" spans="2:34" ht="15" x14ac:dyDescent="0.2">
      <c r="B57">
        <v>37.333333333333336</v>
      </c>
      <c r="C57">
        <v>0.71610451191265778</v>
      </c>
      <c r="D57">
        <v>0</v>
      </c>
      <c r="E57">
        <v>3.6188608008325324E-2</v>
      </c>
      <c r="F57">
        <v>0</v>
      </c>
      <c r="G57">
        <v>0.96363659793833412</v>
      </c>
      <c r="I57">
        <v>37.299999999999997</v>
      </c>
      <c r="J57">
        <v>0.71046730815272274</v>
      </c>
      <c r="K57">
        <v>4.97671282950781E-5</v>
      </c>
      <c r="L57">
        <v>3.3652650994318044E-2</v>
      </c>
      <c r="M57">
        <v>0</v>
      </c>
      <c r="N57">
        <v>0.96614980330361933</v>
      </c>
      <c r="P57" s="6">
        <f t="shared" si="16"/>
        <v>37.316666666666663</v>
      </c>
      <c r="Q57" s="7">
        <f t="shared" si="17"/>
        <v>1.6666666666669272E-2</v>
      </c>
      <c r="R57" s="1">
        <f t="shared" si="33"/>
        <v>0.96489320062097672</v>
      </c>
      <c r="S57">
        <f t="shared" si="18"/>
        <v>1.2566026826426047E-3</v>
      </c>
      <c r="T57" s="1">
        <f t="shared" si="19"/>
        <v>2.488356414753905E-5</v>
      </c>
      <c r="U57">
        <f t="shared" si="20"/>
        <v>2.488356414753905E-5</v>
      </c>
      <c r="V57" s="1">
        <f t="shared" si="21"/>
        <v>3.4920629501321687E-2</v>
      </c>
      <c r="W57">
        <f t="shared" si="22"/>
        <v>1.2679785070036399E-3</v>
      </c>
      <c r="X57" s="1">
        <f t="shared" si="23"/>
        <v>0</v>
      </c>
      <c r="Y57">
        <f t="shared" si="24"/>
        <v>0</v>
      </c>
      <c r="AA57">
        <f t="shared" si="25"/>
        <v>9.6489320062097678E-2</v>
      </c>
      <c r="AB57">
        <f t="shared" si="26"/>
        <v>1.2566026826426048E-4</v>
      </c>
      <c r="AC57">
        <f t="shared" si="27"/>
        <v>2.4883564147539053E-6</v>
      </c>
      <c r="AD57">
        <f t="shared" si="28"/>
        <v>2.4883564147539053E-6</v>
      </c>
      <c r="AE57">
        <f t="shared" si="29"/>
        <v>3.4920629501321689E-3</v>
      </c>
      <c r="AF57">
        <f t="shared" si="30"/>
        <v>1.2679785070036399E-4</v>
      </c>
      <c r="AG57">
        <f t="shared" si="31"/>
        <v>0</v>
      </c>
      <c r="AH57">
        <f t="shared" si="32"/>
        <v>0</v>
      </c>
    </row>
    <row r="58" spans="2:34" ht="15" x14ac:dyDescent="0.2">
      <c r="B58">
        <v>46.1</v>
      </c>
      <c r="C58">
        <v>0.68753726730799591</v>
      </c>
      <c r="D58">
        <v>0</v>
      </c>
      <c r="E58">
        <v>2.8195794739644658E-2</v>
      </c>
      <c r="F58">
        <v>0</v>
      </c>
      <c r="G58">
        <v>0.97166332208376094</v>
      </c>
      <c r="I58">
        <v>46.06666666666667</v>
      </c>
      <c r="J58">
        <v>0.68149896611735783</v>
      </c>
      <c r="K58">
        <v>0</v>
      </c>
      <c r="L58">
        <v>2.6863341573582937E-2</v>
      </c>
      <c r="M58">
        <v>0</v>
      </c>
      <c r="N58">
        <v>0.97295497184508206</v>
      </c>
      <c r="P58" s="6">
        <f t="shared" si="16"/>
        <v>46.083333333333336</v>
      </c>
      <c r="Q58" s="7">
        <f t="shared" si="17"/>
        <v>1.6666666666665719E-2</v>
      </c>
      <c r="R58" s="1">
        <f t="shared" si="33"/>
        <v>0.9723091469644215</v>
      </c>
      <c r="S58">
        <f t="shared" si="18"/>
        <v>6.4582488066056154E-4</v>
      </c>
      <c r="T58" s="1">
        <f t="shared" si="19"/>
        <v>0</v>
      </c>
      <c r="U58">
        <f t="shared" si="20"/>
        <v>0</v>
      </c>
      <c r="V58" s="1">
        <f t="shared" si="21"/>
        <v>2.7529568156613796E-2</v>
      </c>
      <c r="W58">
        <f t="shared" si="22"/>
        <v>6.6622658303086037E-4</v>
      </c>
      <c r="X58" s="1">
        <f t="shared" si="23"/>
        <v>0</v>
      </c>
      <c r="Y58">
        <f t="shared" si="24"/>
        <v>0</v>
      </c>
      <c r="AA58">
        <f t="shared" si="25"/>
        <v>9.7230914696442156E-2</v>
      </c>
      <c r="AB58">
        <f t="shared" si="26"/>
        <v>6.4582488066056157E-5</v>
      </c>
      <c r="AC58">
        <f t="shared" si="27"/>
        <v>0</v>
      </c>
      <c r="AD58">
        <f t="shared" si="28"/>
        <v>0</v>
      </c>
      <c r="AE58">
        <f t="shared" si="29"/>
        <v>2.7529568156613796E-3</v>
      </c>
      <c r="AF58">
        <f t="shared" si="30"/>
        <v>6.6622658303086034E-5</v>
      </c>
      <c r="AG58">
        <f t="shared" si="31"/>
        <v>0</v>
      </c>
      <c r="AH58">
        <f t="shared" si="32"/>
        <v>0</v>
      </c>
    </row>
    <row r="59" spans="2:34" ht="15" x14ac:dyDescent="0.2">
      <c r="B59">
        <v>61.7</v>
      </c>
      <c r="C59">
        <v>0.63688279327109532</v>
      </c>
      <c r="D59">
        <v>0</v>
      </c>
      <c r="E59">
        <v>2.1852929584341013E-2</v>
      </c>
      <c r="F59">
        <v>0</v>
      </c>
      <c r="G59">
        <v>0.97810354215028461</v>
      </c>
      <c r="I59">
        <v>61.666666666666664</v>
      </c>
      <c r="J59">
        <v>0.61918112504173128</v>
      </c>
      <c r="K59">
        <v>0</v>
      </c>
      <c r="L59">
        <v>2.1435231504110901E-2</v>
      </c>
      <c r="M59">
        <v>0</v>
      </c>
      <c r="N59">
        <v>0.9784807047752051</v>
      </c>
      <c r="P59" s="6">
        <f t="shared" si="16"/>
        <v>61.683333333333337</v>
      </c>
      <c r="Q59" s="7">
        <f t="shared" si="17"/>
        <v>1.6666666666669272E-2</v>
      </c>
      <c r="R59" s="1">
        <f t="shared" si="33"/>
        <v>0.97829212346274486</v>
      </c>
      <c r="S59">
        <f t="shared" si="18"/>
        <v>1.8858131246024534E-4</v>
      </c>
      <c r="T59" s="1">
        <f t="shared" si="19"/>
        <v>0</v>
      </c>
      <c r="U59">
        <f t="shared" si="20"/>
        <v>0</v>
      </c>
      <c r="V59" s="1">
        <f t="shared" si="21"/>
        <v>2.1644080544225959E-2</v>
      </c>
      <c r="W59">
        <f t="shared" si="22"/>
        <v>2.0884904011505591E-4</v>
      </c>
      <c r="X59" s="1">
        <f t="shared" si="23"/>
        <v>0</v>
      </c>
      <c r="Y59">
        <f t="shared" si="24"/>
        <v>0</v>
      </c>
      <c r="AA59">
        <f t="shared" si="25"/>
        <v>9.7829212346274494E-2</v>
      </c>
      <c r="AB59">
        <f t="shared" si="26"/>
        <v>1.8858131246024534E-5</v>
      </c>
      <c r="AC59">
        <f t="shared" si="27"/>
        <v>0</v>
      </c>
      <c r="AD59">
        <f t="shared" si="28"/>
        <v>0</v>
      </c>
      <c r="AE59">
        <f t="shared" si="29"/>
        <v>2.1644080544225958E-3</v>
      </c>
      <c r="AF59">
        <f t="shared" si="30"/>
        <v>2.0884904011505592E-5</v>
      </c>
      <c r="AG59">
        <f t="shared" si="31"/>
        <v>0</v>
      </c>
      <c r="AH59">
        <f t="shared" si="32"/>
        <v>0</v>
      </c>
    </row>
    <row r="60" spans="2:34" ht="15" x14ac:dyDescent="0.2">
      <c r="B60">
        <v>70.516666666666666</v>
      </c>
      <c r="C60">
        <v>0.60744664448751373</v>
      </c>
      <c r="D60">
        <v>0</v>
      </c>
      <c r="E60">
        <v>2.0114525495683749E-2</v>
      </c>
      <c r="F60">
        <v>0</v>
      </c>
      <c r="G60">
        <v>0.97987797664140852</v>
      </c>
      <c r="I60">
        <v>71.483333333333334</v>
      </c>
      <c r="J60">
        <v>0.5938088199891427</v>
      </c>
      <c r="K60">
        <v>0</v>
      </c>
      <c r="L60">
        <v>1.9160309092205549E-2</v>
      </c>
      <c r="M60">
        <v>0</v>
      </c>
      <c r="N60">
        <v>0.98080511132407711</v>
      </c>
      <c r="P60" s="6">
        <f t="shared" si="16"/>
        <v>71</v>
      </c>
      <c r="Q60" s="7">
        <f t="shared" si="17"/>
        <v>0.48333333333333428</v>
      </c>
      <c r="R60" s="1">
        <f t="shared" si="33"/>
        <v>0.98034154398274276</v>
      </c>
      <c r="S60">
        <f t="shared" si="18"/>
        <v>4.6356734133429223E-4</v>
      </c>
      <c r="T60" s="1">
        <f t="shared" si="19"/>
        <v>0</v>
      </c>
      <c r="U60">
        <f t="shared" si="20"/>
        <v>0</v>
      </c>
      <c r="V60" s="1">
        <f t="shared" si="21"/>
        <v>1.9637417293944651E-2</v>
      </c>
      <c r="W60">
        <f t="shared" si="22"/>
        <v>4.7710820173909978E-4</v>
      </c>
      <c r="X60" s="1">
        <f t="shared" si="23"/>
        <v>0</v>
      </c>
      <c r="Y60">
        <f t="shared" si="24"/>
        <v>0</v>
      </c>
      <c r="AA60">
        <f t="shared" si="25"/>
        <v>9.8034154398274287E-2</v>
      </c>
      <c r="AB60">
        <f t="shared" si="26"/>
        <v>4.6356734133429227E-5</v>
      </c>
      <c r="AC60">
        <f t="shared" si="27"/>
        <v>0</v>
      </c>
      <c r="AD60">
        <f t="shared" si="28"/>
        <v>0</v>
      </c>
      <c r="AE60">
        <f t="shared" si="29"/>
        <v>1.9637417293944651E-3</v>
      </c>
      <c r="AF60">
        <f t="shared" si="30"/>
        <v>4.7710820173909978E-5</v>
      </c>
      <c r="AG60">
        <f t="shared" si="31"/>
        <v>0</v>
      </c>
      <c r="AH60">
        <f t="shared" si="32"/>
        <v>0</v>
      </c>
    </row>
    <row r="61" spans="2:34" ht="15" x14ac:dyDescent="0.2">
      <c r="K61" s="1"/>
      <c r="L61"/>
      <c r="M61" s="1"/>
      <c r="S61" s="1"/>
      <c r="T61" s="1"/>
      <c r="V61" s="1"/>
      <c r="X61" s="1"/>
    </row>
    <row r="62" spans="2:34" ht="15" x14ac:dyDescent="0.2">
      <c r="K62" s="1"/>
      <c r="L62"/>
      <c r="M62" s="1"/>
      <c r="R62"/>
      <c r="S62" s="1"/>
      <c r="Y62"/>
    </row>
    <row r="63" spans="2:34" ht="15" x14ac:dyDescent="0.2">
      <c r="K63" s="1"/>
      <c r="L63"/>
      <c r="M63" s="1"/>
      <c r="R63"/>
      <c r="S63" s="1"/>
      <c r="Y63"/>
    </row>
    <row r="64" spans="2:34" ht="15" x14ac:dyDescent="0.2">
      <c r="K64" s="1"/>
      <c r="L64"/>
      <c r="M64" s="1"/>
      <c r="R64"/>
      <c r="S64" s="1"/>
      <c r="Y64"/>
    </row>
    <row r="65" spans="1:34" ht="15" x14ac:dyDescent="0.2">
      <c r="K65" s="1"/>
      <c r="L65"/>
      <c r="M65" s="1"/>
      <c r="R65"/>
      <c r="S65" s="1"/>
      <c r="Y65"/>
    </row>
    <row r="66" spans="1:34" ht="15" x14ac:dyDescent="0.2">
      <c r="K66" s="1"/>
      <c r="L66"/>
      <c r="M66" s="1"/>
      <c r="R66"/>
      <c r="S66" s="1"/>
      <c r="Y66"/>
    </row>
    <row r="67" spans="1:34" ht="15" x14ac:dyDescent="0.2">
      <c r="K67" s="1"/>
      <c r="L67"/>
      <c r="M67" s="1"/>
      <c r="R67"/>
      <c r="S67" s="1"/>
      <c r="Y67"/>
    </row>
    <row r="68" spans="1:34" ht="15" x14ac:dyDescent="0.2">
      <c r="B68" t="s">
        <v>209</v>
      </c>
      <c r="I68" t="s">
        <v>210</v>
      </c>
      <c r="K68" s="1"/>
      <c r="L68"/>
      <c r="M68" s="1"/>
      <c r="P68" s="6" t="s">
        <v>195</v>
      </c>
      <c r="Q68" s="7"/>
      <c r="R68" s="1" t="s">
        <v>203</v>
      </c>
      <c r="AA68" s="1" t="s">
        <v>216</v>
      </c>
    </row>
    <row r="69" spans="1:34" ht="15" x14ac:dyDescent="0.2">
      <c r="A69" t="s">
        <v>208</v>
      </c>
      <c r="B69" t="s">
        <v>10</v>
      </c>
      <c r="C69" t="s">
        <v>1</v>
      </c>
      <c r="D69" t="s">
        <v>2</v>
      </c>
      <c r="E69" t="s">
        <v>3</v>
      </c>
      <c r="F69" t="s">
        <v>4</v>
      </c>
      <c r="G69" t="s">
        <v>8</v>
      </c>
      <c r="I69" t="s">
        <v>10</v>
      </c>
      <c r="J69" t="s">
        <v>1</v>
      </c>
      <c r="K69" t="s">
        <v>2</v>
      </c>
      <c r="L69" t="s">
        <v>3</v>
      </c>
      <c r="M69" t="s">
        <v>4</v>
      </c>
      <c r="N69" t="s">
        <v>8</v>
      </c>
      <c r="P69" s="6" t="s">
        <v>20</v>
      </c>
      <c r="Q69" s="7" t="s">
        <v>198</v>
      </c>
      <c r="R69" s="1" t="s">
        <v>211</v>
      </c>
      <c r="S69" t="s">
        <v>212</v>
      </c>
      <c r="T69" s="1" t="s">
        <v>2</v>
      </c>
      <c r="U69" t="s">
        <v>213</v>
      </c>
      <c r="V69" s="1" t="s">
        <v>3</v>
      </c>
      <c r="W69" t="s">
        <v>214</v>
      </c>
      <c r="X69" s="1" t="s">
        <v>24</v>
      </c>
      <c r="Y69" t="s">
        <v>215</v>
      </c>
      <c r="AA69" s="1" t="s">
        <v>211</v>
      </c>
      <c r="AB69" t="s">
        <v>212</v>
      </c>
      <c r="AC69" s="1" t="s">
        <v>2</v>
      </c>
      <c r="AD69" t="s">
        <v>213</v>
      </c>
      <c r="AE69" s="1" t="s">
        <v>3</v>
      </c>
      <c r="AF69" t="s">
        <v>214</v>
      </c>
      <c r="AG69" s="1" t="s">
        <v>24</v>
      </c>
      <c r="AH69" t="s">
        <v>215</v>
      </c>
    </row>
    <row r="70" spans="1:34" ht="15" x14ac:dyDescent="0.2">
      <c r="B70">
        <v>0</v>
      </c>
      <c r="D70">
        <v>0</v>
      </c>
      <c r="E70">
        <v>0</v>
      </c>
      <c r="F70">
        <v>0</v>
      </c>
      <c r="G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1</v>
      </c>
      <c r="P70" s="6">
        <f>AVERAGE(B70,I70)</f>
        <v>0</v>
      </c>
      <c r="Q70" s="7">
        <f>_xlfn.STDEV.P(B70,I70)</f>
        <v>0</v>
      </c>
      <c r="R70" s="1">
        <f>AVERAGE(G70,N70)</f>
        <v>1</v>
      </c>
      <c r="S70">
        <f>_xlfn.STDEV.P(G70,N70)</f>
        <v>0</v>
      </c>
      <c r="T70" s="1">
        <f>AVERAGE(D70,K70)</f>
        <v>0</v>
      </c>
      <c r="U70">
        <f>_xlfn.STDEV.P(D70,K70)</f>
        <v>0</v>
      </c>
      <c r="V70" s="1">
        <f>AVERAGE(E70,L70)</f>
        <v>0</v>
      </c>
      <c r="W70">
        <f>_xlfn.STDEV.P(E70,L70)</f>
        <v>0</v>
      </c>
      <c r="X70" s="1">
        <f>AVERAGE(F70,M70)</f>
        <v>0</v>
      </c>
      <c r="Y70">
        <f>_xlfn.STDEV.P(F70,M70)</f>
        <v>0</v>
      </c>
      <c r="AA70">
        <f>R70*0.1</f>
        <v>0.1</v>
      </c>
      <c r="AB70">
        <f t="shared" ref="AB70:AB71" si="34">S70*0.1</f>
        <v>0</v>
      </c>
      <c r="AC70">
        <f t="shared" ref="AC70:AC71" si="35">T70*0.1</f>
        <v>0</v>
      </c>
      <c r="AD70">
        <f t="shared" ref="AD70:AD71" si="36">U70*0.1</f>
        <v>0</v>
      </c>
      <c r="AE70">
        <f t="shared" ref="AE70:AE71" si="37">V70*0.1</f>
        <v>0</v>
      </c>
      <c r="AF70">
        <f t="shared" ref="AF70:AF71" si="38">W70*0.1</f>
        <v>0</v>
      </c>
      <c r="AG70">
        <f t="shared" ref="AG70:AG71" si="39">X70*0.1</f>
        <v>0</v>
      </c>
      <c r="AH70">
        <f t="shared" ref="AH70:AH71" si="40">Y70*0.1</f>
        <v>0</v>
      </c>
    </row>
    <row r="71" spans="1:34" ht="15" x14ac:dyDescent="0.2">
      <c r="B71">
        <v>0.05</v>
      </c>
      <c r="C71">
        <v>0.9779369978904926</v>
      </c>
      <c r="D71">
        <v>1.4646795075669101E-3</v>
      </c>
      <c r="E71">
        <v>5.822604013508324E-5</v>
      </c>
      <c r="F71">
        <v>0</v>
      </c>
      <c r="G71">
        <v>0.99847709445229782</v>
      </c>
      <c r="I71">
        <v>0.05</v>
      </c>
      <c r="J71">
        <v>0.95690355843931851</v>
      </c>
      <c r="K71">
        <v>2.0374294484802692E-2</v>
      </c>
      <c r="L71">
        <v>1.5448886836050711E-3</v>
      </c>
      <c r="M71">
        <v>2.5320036412860967E-4</v>
      </c>
      <c r="N71">
        <v>0.97782761646746352</v>
      </c>
      <c r="P71" s="6">
        <f t="shared" ref="P71:P96" si="41">AVERAGE(B71,I71)</f>
        <v>0.05</v>
      </c>
      <c r="Q71" s="7">
        <f t="shared" ref="Q71:Q96" si="42">_xlfn.STDEV.P(B71,I71)</f>
        <v>0</v>
      </c>
      <c r="R71" s="1">
        <f>AVERAGE(G71,N71)</f>
        <v>0.98815235545988067</v>
      </c>
      <c r="S71">
        <f t="shared" ref="S71" si="43">_xlfn.STDEV.P(G71,N71)</f>
        <v>1.0324738992417148E-2</v>
      </c>
      <c r="T71" s="1">
        <f t="shared" ref="T71" si="44">AVERAGE(D71,K71)</f>
        <v>1.09194869961848E-2</v>
      </c>
      <c r="U71">
        <f t="shared" ref="U71" si="45">_xlfn.STDEV.P(D71,K71)</f>
        <v>9.4548074886178918E-3</v>
      </c>
      <c r="V71" s="1">
        <f t="shared" ref="V71" si="46">AVERAGE(E71,L71)</f>
        <v>8.0155736187007714E-4</v>
      </c>
      <c r="W71">
        <f t="shared" ref="W71" si="47">_xlfn.STDEV.P(E71,L71)</f>
        <v>7.4333132173499397E-4</v>
      </c>
      <c r="X71" s="1">
        <f t="shared" ref="X71" si="48">AVERAGE(F71,M71)</f>
        <v>1.2660018206430484E-4</v>
      </c>
      <c r="Y71">
        <f t="shared" ref="Y71" si="49">_xlfn.STDEV.P(F71,M71)</f>
        <v>1.2660018206430484E-4</v>
      </c>
      <c r="AA71">
        <f t="shared" ref="AA71" si="50">R71*0.1</f>
        <v>9.8815235545988075E-2</v>
      </c>
      <c r="AB71">
        <f t="shared" si="34"/>
        <v>1.0324738992417148E-3</v>
      </c>
      <c r="AC71">
        <f t="shared" si="35"/>
        <v>1.09194869961848E-3</v>
      </c>
      <c r="AD71">
        <f t="shared" si="36"/>
        <v>9.4548074886178926E-4</v>
      </c>
      <c r="AE71">
        <f t="shared" si="37"/>
        <v>8.0155736187007725E-5</v>
      </c>
      <c r="AF71">
        <f t="shared" si="38"/>
        <v>7.4333132173499408E-5</v>
      </c>
      <c r="AG71">
        <f t="shared" si="39"/>
        <v>1.2660018206430484E-5</v>
      </c>
      <c r="AH71">
        <f t="shared" si="40"/>
        <v>1.2660018206430484E-5</v>
      </c>
    </row>
    <row r="72" spans="1:34" ht="15" x14ac:dyDescent="0.2">
      <c r="B72">
        <v>0.56666666666666665</v>
      </c>
      <c r="C72">
        <v>0.94124053346459635</v>
      </c>
      <c r="D72">
        <v>1.3797035833478789E-2</v>
      </c>
      <c r="E72">
        <v>2.5312645461044161E-3</v>
      </c>
      <c r="F72">
        <v>0</v>
      </c>
      <c r="G72">
        <v>0.9836716996204169</v>
      </c>
      <c r="I72">
        <v>0.56666666666666665</v>
      </c>
      <c r="J72">
        <v>0.72774589064537976</v>
      </c>
      <c r="K72">
        <v>0.19085762151781754</v>
      </c>
      <c r="L72">
        <v>3.9105869984921632E-2</v>
      </c>
      <c r="M72">
        <v>1.4882967359873885E-3</v>
      </c>
      <c r="N72">
        <v>0.76854821176127341</v>
      </c>
      <c r="P72" s="6">
        <f t="shared" si="41"/>
        <v>0.56666666666666665</v>
      </c>
      <c r="Q72" s="7">
        <f t="shared" si="42"/>
        <v>0</v>
      </c>
      <c r="R72" s="1">
        <f t="shared" ref="R72:R96" si="51">AVERAGE(G72,N72)</f>
        <v>0.87610995569084515</v>
      </c>
      <c r="S72">
        <f t="shared" ref="S72:S96" si="52">_xlfn.STDEV.P(G72,N72)</f>
        <v>0.10756174392957227</v>
      </c>
      <c r="T72" s="1">
        <f t="shared" ref="T72:T96" si="53">AVERAGE(D72,K72)</f>
        <v>0.10232732867564817</v>
      </c>
      <c r="U72">
        <f t="shared" ref="U72:U96" si="54">_xlfn.STDEV.P(D72,K72)</f>
        <v>8.8530292842169372E-2</v>
      </c>
      <c r="V72" s="1">
        <f t="shared" ref="V72:V96" si="55">AVERAGE(E72,L72)</f>
        <v>2.0818567265513024E-2</v>
      </c>
      <c r="W72">
        <f t="shared" ref="W72:W96" si="56">_xlfn.STDEV.P(E72,L72)</f>
        <v>1.8287302719408607E-2</v>
      </c>
      <c r="X72" s="1">
        <f t="shared" ref="X72:X96" si="57">AVERAGE(F72,M72)</f>
        <v>7.4414836799369425E-4</v>
      </c>
      <c r="Y72">
        <f t="shared" ref="Y72:Y96" si="58">_xlfn.STDEV.P(F72,M72)</f>
        <v>7.4414836799369425E-4</v>
      </c>
      <c r="AA72">
        <f t="shared" ref="AA72:AA96" si="59">R72*0.1</f>
        <v>8.7610995569084527E-2</v>
      </c>
      <c r="AB72">
        <f t="shared" ref="AB72:AB96" si="60">S72*0.1</f>
        <v>1.0756174392957228E-2</v>
      </c>
      <c r="AC72">
        <f t="shared" ref="AC72:AC96" si="61">T72*0.1</f>
        <v>1.0232732867564818E-2</v>
      </c>
      <c r="AD72">
        <f t="shared" ref="AD72:AD96" si="62">U72*0.1</f>
        <v>8.8530292842169383E-3</v>
      </c>
      <c r="AE72">
        <f t="shared" ref="AE72:AE96" si="63">V72*0.1</f>
        <v>2.0818567265513026E-3</v>
      </c>
      <c r="AF72">
        <f t="shared" ref="AF72:AF96" si="64">W72*0.1</f>
        <v>1.8287302719408609E-3</v>
      </c>
      <c r="AG72">
        <f t="shared" ref="AG72:AG96" si="65">X72*0.1</f>
        <v>7.4414836799369431E-5</v>
      </c>
      <c r="AH72">
        <f t="shared" ref="AH72:AH96" si="66">Y72*0.1</f>
        <v>7.4414836799369431E-5</v>
      </c>
    </row>
    <row r="73" spans="1:34" ht="15" x14ac:dyDescent="0.2">
      <c r="B73">
        <v>1.1666666666666667</v>
      </c>
      <c r="C73">
        <v>0.92731622935966151</v>
      </c>
      <c r="D73">
        <v>1.5380111830163275E-2</v>
      </c>
      <c r="E73">
        <v>5.4941418228227311E-3</v>
      </c>
      <c r="F73">
        <v>0</v>
      </c>
      <c r="G73">
        <v>0.97912574634701399</v>
      </c>
      <c r="I73">
        <v>1.1833333333333333</v>
      </c>
      <c r="J73">
        <v>0.63082016006062847</v>
      </c>
      <c r="K73">
        <v>0.22978233196708259</v>
      </c>
      <c r="L73">
        <v>9.2666133562295333E-2</v>
      </c>
      <c r="M73">
        <v>5.3292704380829476E-4</v>
      </c>
      <c r="N73">
        <v>0.67695119857522212</v>
      </c>
      <c r="P73" s="6">
        <f t="shared" si="41"/>
        <v>1.175</v>
      </c>
      <c r="Q73" s="7">
        <f t="shared" si="42"/>
        <v>8.3333333333333037E-3</v>
      </c>
      <c r="R73" s="1">
        <f t="shared" si="51"/>
        <v>0.82803847246111806</v>
      </c>
      <c r="S73">
        <f t="shared" si="52"/>
        <v>0.15108727388589568</v>
      </c>
      <c r="T73" s="1">
        <f t="shared" si="53"/>
        <v>0.12258122189862293</v>
      </c>
      <c r="U73">
        <f t="shared" si="54"/>
        <v>0.10720111006845966</v>
      </c>
      <c r="V73" s="1">
        <f t="shared" si="55"/>
        <v>4.9080137692559034E-2</v>
      </c>
      <c r="W73">
        <f t="shared" si="56"/>
        <v>4.3585995869736306E-2</v>
      </c>
      <c r="X73" s="1">
        <f t="shared" si="57"/>
        <v>2.6646352190414738E-4</v>
      </c>
      <c r="Y73">
        <f t="shared" si="58"/>
        <v>2.6646352190414738E-4</v>
      </c>
      <c r="AA73">
        <f t="shared" si="59"/>
        <v>8.2803847246111811E-2</v>
      </c>
      <c r="AB73">
        <f t="shared" si="60"/>
        <v>1.5108727388589569E-2</v>
      </c>
      <c r="AC73">
        <f t="shared" si="61"/>
        <v>1.2258122189862294E-2</v>
      </c>
      <c r="AD73">
        <f t="shared" si="62"/>
        <v>1.0720111006845966E-2</v>
      </c>
      <c r="AE73">
        <f t="shared" si="63"/>
        <v>4.9080137692559039E-3</v>
      </c>
      <c r="AF73">
        <f t="shared" si="64"/>
        <v>4.3585995869736306E-3</v>
      </c>
      <c r="AG73">
        <f t="shared" si="65"/>
        <v>2.6646352190414739E-5</v>
      </c>
      <c r="AH73">
        <f t="shared" si="66"/>
        <v>2.6646352190414739E-5</v>
      </c>
    </row>
    <row r="74" spans="1:34" ht="15" x14ac:dyDescent="0.2">
      <c r="B74">
        <v>1.7833333333333332</v>
      </c>
      <c r="C74">
        <v>0.91677101602182909</v>
      </c>
      <c r="D74">
        <v>1.2661038428805548E-2</v>
      </c>
      <c r="E74">
        <v>7.8074451670207649E-3</v>
      </c>
      <c r="F74">
        <v>0</v>
      </c>
      <c r="G74">
        <v>0.97953151640417391</v>
      </c>
      <c r="I74">
        <v>1.7833333333333332</v>
      </c>
      <c r="J74">
        <v>0.60070606322013109</v>
      </c>
      <c r="K74">
        <v>0.21271952286578213</v>
      </c>
      <c r="L74">
        <v>0.13658911621546366</v>
      </c>
      <c r="M74">
        <v>2.0125184148564253E-4</v>
      </c>
      <c r="N74">
        <v>0.65027409334312192</v>
      </c>
      <c r="P74" s="6">
        <f t="shared" si="41"/>
        <v>1.7833333333333332</v>
      </c>
      <c r="Q74" s="7">
        <f t="shared" si="42"/>
        <v>0</v>
      </c>
      <c r="R74" s="1">
        <f t="shared" si="51"/>
        <v>0.81490280487364797</v>
      </c>
      <c r="S74">
        <f t="shared" si="52"/>
        <v>0.16462871153052583</v>
      </c>
      <c r="T74" s="1">
        <f t="shared" si="53"/>
        <v>0.11269028064729385</v>
      </c>
      <c r="U74">
        <f t="shared" si="54"/>
        <v>0.10002924221848829</v>
      </c>
      <c r="V74" s="1">
        <f t="shared" si="55"/>
        <v>7.2198280691242206E-2</v>
      </c>
      <c r="W74">
        <f t="shared" si="56"/>
        <v>6.4390835524221451E-2</v>
      </c>
      <c r="X74" s="1">
        <f t="shared" si="57"/>
        <v>1.0062592074282127E-4</v>
      </c>
      <c r="Y74">
        <f t="shared" si="58"/>
        <v>1.0062592074282127E-4</v>
      </c>
      <c r="AA74">
        <f t="shared" si="59"/>
        <v>8.14902804873648E-2</v>
      </c>
      <c r="AB74">
        <f t="shared" si="60"/>
        <v>1.6462871153052585E-2</v>
      </c>
      <c r="AC74">
        <f t="shared" si="61"/>
        <v>1.1269028064729385E-2</v>
      </c>
      <c r="AD74">
        <f t="shared" si="62"/>
        <v>1.0002924221848829E-2</v>
      </c>
      <c r="AE74">
        <f t="shared" si="63"/>
        <v>7.2198280691242213E-3</v>
      </c>
      <c r="AF74">
        <f t="shared" si="64"/>
        <v>6.4390835524221453E-3</v>
      </c>
      <c r="AG74">
        <f t="shared" si="65"/>
        <v>1.0062592074282127E-5</v>
      </c>
      <c r="AH74">
        <f t="shared" si="66"/>
        <v>1.0062592074282127E-5</v>
      </c>
    </row>
    <row r="75" spans="1:34" ht="15" x14ac:dyDescent="0.2">
      <c r="B75">
        <v>2.3833333333333333</v>
      </c>
      <c r="C75">
        <v>0.91140001081001543</v>
      </c>
      <c r="D75">
        <v>1.169592808553245E-2</v>
      </c>
      <c r="E75">
        <v>1.0229430434785558E-2</v>
      </c>
      <c r="F75">
        <v>0</v>
      </c>
      <c r="G75">
        <v>0.97807464147968182</v>
      </c>
      <c r="I75">
        <v>2.3833333333333333</v>
      </c>
      <c r="J75">
        <v>0.59919031741046258</v>
      </c>
      <c r="K75">
        <v>0.17856877549788402</v>
      </c>
      <c r="L75">
        <v>0.16897520724314921</v>
      </c>
      <c r="M75">
        <v>0</v>
      </c>
      <c r="N75">
        <v>0.65223037847151377</v>
      </c>
      <c r="P75" s="6">
        <f t="shared" si="41"/>
        <v>2.3833333333333333</v>
      </c>
      <c r="Q75" s="7">
        <f t="shared" si="42"/>
        <v>0</v>
      </c>
      <c r="R75" s="1">
        <f t="shared" si="51"/>
        <v>0.81515250997559785</v>
      </c>
      <c r="S75">
        <f t="shared" si="52"/>
        <v>0.16292213150408352</v>
      </c>
      <c r="T75" s="1">
        <f t="shared" si="53"/>
        <v>9.5132351791708231E-2</v>
      </c>
      <c r="U75">
        <f t="shared" si="54"/>
        <v>8.3436423706175794E-2</v>
      </c>
      <c r="V75" s="1">
        <f t="shared" si="55"/>
        <v>8.9602318838967382E-2</v>
      </c>
      <c r="W75">
        <f t="shared" si="56"/>
        <v>7.9372888404181829E-2</v>
      </c>
      <c r="X75" s="1">
        <f t="shared" si="57"/>
        <v>0</v>
      </c>
      <c r="Y75">
        <f t="shared" si="58"/>
        <v>0</v>
      </c>
      <c r="AA75">
        <f t="shared" si="59"/>
        <v>8.1515250997559796E-2</v>
      </c>
      <c r="AB75">
        <f t="shared" si="60"/>
        <v>1.6292213150408352E-2</v>
      </c>
      <c r="AC75">
        <f t="shared" si="61"/>
        <v>9.5132351791708241E-3</v>
      </c>
      <c r="AD75">
        <f t="shared" si="62"/>
        <v>8.3436423706175801E-3</v>
      </c>
      <c r="AE75">
        <f t="shared" si="63"/>
        <v>8.9602318838967378E-3</v>
      </c>
      <c r="AF75">
        <f t="shared" si="64"/>
        <v>7.9372888404181836E-3</v>
      </c>
      <c r="AG75">
        <f t="shared" si="65"/>
        <v>0</v>
      </c>
      <c r="AH75">
        <f t="shared" si="66"/>
        <v>0</v>
      </c>
    </row>
    <row r="76" spans="1:34" ht="15" x14ac:dyDescent="0.2">
      <c r="B76">
        <v>3</v>
      </c>
      <c r="C76">
        <v>0.9052866651441136</v>
      </c>
      <c r="D76">
        <v>9.7819668643751717E-3</v>
      </c>
      <c r="E76">
        <v>1.1995650851627303E-2</v>
      </c>
      <c r="F76">
        <v>0</v>
      </c>
      <c r="G76">
        <v>0.9782223822839976</v>
      </c>
      <c r="I76">
        <v>3</v>
      </c>
      <c r="J76">
        <v>0.59155552646079845</v>
      </c>
      <c r="K76">
        <v>0.14967293554299557</v>
      </c>
      <c r="L76">
        <v>0.19864492955398225</v>
      </c>
      <c r="M76">
        <v>0</v>
      </c>
      <c r="N76">
        <v>0.65135199282499845</v>
      </c>
      <c r="P76" s="6">
        <f t="shared" si="41"/>
        <v>3</v>
      </c>
      <c r="Q76" s="7">
        <f t="shared" si="42"/>
        <v>0</v>
      </c>
      <c r="R76" s="1">
        <f t="shared" si="51"/>
        <v>0.81478718755449808</v>
      </c>
      <c r="S76">
        <f t="shared" si="52"/>
        <v>0.16343519472949927</v>
      </c>
      <c r="T76" s="1">
        <f t="shared" si="53"/>
        <v>7.9727451203685379E-2</v>
      </c>
      <c r="U76">
        <f t="shared" si="54"/>
        <v>6.9945484339310193E-2</v>
      </c>
      <c r="V76" s="1">
        <f t="shared" si="55"/>
        <v>0.10532029020280477</v>
      </c>
      <c r="W76">
        <f t="shared" si="56"/>
        <v>9.3324639351177463E-2</v>
      </c>
      <c r="X76" s="1">
        <f t="shared" si="57"/>
        <v>0</v>
      </c>
      <c r="Y76">
        <f t="shared" si="58"/>
        <v>0</v>
      </c>
      <c r="AA76">
        <f t="shared" si="59"/>
        <v>8.1478718755449819E-2</v>
      </c>
      <c r="AB76">
        <f t="shared" si="60"/>
        <v>1.6343519472949927E-2</v>
      </c>
      <c r="AC76">
        <f t="shared" si="61"/>
        <v>7.9727451203685379E-3</v>
      </c>
      <c r="AD76">
        <f t="shared" si="62"/>
        <v>6.9945484339310193E-3</v>
      </c>
      <c r="AE76">
        <f t="shared" si="63"/>
        <v>1.0532029020280477E-2</v>
      </c>
      <c r="AF76">
        <f t="shared" si="64"/>
        <v>9.3324639351177463E-3</v>
      </c>
      <c r="AG76">
        <f t="shared" si="65"/>
        <v>0</v>
      </c>
      <c r="AH76">
        <f t="shared" si="66"/>
        <v>0</v>
      </c>
    </row>
    <row r="77" spans="1:34" ht="15" x14ac:dyDescent="0.2">
      <c r="B77">
        <v>3.6</v>
      </c>
      <c r="C77">
        <v>0.89908470641877458</v>
      </c>
      <c r="D77">
        <v>7.7550501259076943E-3</v>
      </c>
      <c r="E77">
        <v>1.3858823622430114E-2</v>
      </c>
      <c r="F77">
        <v>0</v>
      </c>
      <c r="G77">
        <v>0.97838612625166199</v>
      </c>
      <c r="I77">
        <v>3.6</v>
      </c>
      <c r="J77">
        <v>0.59324038905113397</v>
      </c>
      <c r="K77">
        <v>0.11960884446648042</v>
      </c>
      <c r="L77">
        <v>0.22038639811135738</v>
      </c>
      <c r="M77">
        <v>0</v>
      </c>
      <c r="N77">
        <v>0.65957479130748353</v>
      </c>
      <c r="P77" s="6">
        <f t="shared" si="41"/>
        <v>3.6</v>
      </c>
      <c r="Q77" s="7">
        <f t="shared" si="42"/>
        <v>0</v>
      </c>
      <c r="R77" s="1">
        <f t="shared" si="51"/>
        <v>0.81898045877957282</v>
      </c>
      <c r="S77">
        <f t="shared" si="52"/>
        <v>0.15940566747208929</v>
      </c>
      <c r="T77" s="1">
        <f t="shared" si="53"/>
        <v>6.3681947296194058E-2</v>
      </c>
      <c r="U77">
        <f t="shared" si="54"/>
        <v>5.5926897170286358E-2</v>
      </c>
      <c r="V77" s="1">
        <f t="shared" si="55"/>
        <v>0.11712261086689374</v>
      </c>
      <c r="W77">
        <f t="shared" si="56"/>
        <v>0.10326378724446364</v>
      </c>
      <c r="X77" s="1">
        <f t="shared" si="57"/>
        <v>0</v>
      </c>
      <c r="Y77">
        <f t="shared" si="58"/>
        <v>0</v>
      </c>
      <c r="AA77">
        <f t="shared" si="59"/>
        <v>8.1898045877957293E-2</v>
      </c>
      <c r="AB77">
        <f t="shared" si="60"/>
        <v>1.594056674720893E-2</v>
      </c>
      <c r="AC77">
        <f t="shared" si="61"/>
        <v>6.3681947296194063E-3</v>
      </c>
      <c r="AD77">
        <f t="shared" si="62"/>
        <v>5.5926897170286358E-3</v>
      </c>
      <c r="AE77">
        <f t="shared" si="63"/>
        <v>1.1712261086689374E-2</v>
      </c>
      <c r="AF77">
        <f t="shared" si="64"/>
        <v>1.0326378724446365E-2</v>
      </c>
      <c r="AG77">
        <f t="shared" si="65"/>
        <v>0</v>
      </c>
      <c r="AH77">
        <f t="shared" si="66"/>
        <v>0</v>
      </c>
    </row>
    <row r="78" spans="1:34" ht="15" x14ac:dyDescent="0.2">
      <c r="B78">
        <v>4.2</v>
      </c>
      <c r="C78">
        <v>0.897668587671688</v>
      </c>
      <c r="D78">
        <v>6.5130772740266216E-3</v>
      </c>
      <c r="E78">
        <v>1.4458830043779614E-2</v>
      </c>
      <c r="F78">
        <v>0</v>
      </c>
      <c r="G78">
        <v>0.97902809268219393</v>
      </c>
      <c r="I78">
        <v>4.2</v>
      </c>
      <c r="J78">
        <v>0.58937030544158786</v>
      </c>
      <c r="K78">
        <v>0.10348892815240024</v>
      </c>
      <c r="L78">
        <v>0.23506430140162787</v>
      </c>
      <c r="M78">
        <v>0</v>
      </c>
      <c r="N78">
        <v>0.66071390331193125</v>
      </c>
      <c r="P78" s="6">
        <f t="shared" si="41"/>
        <v>4.2</v>
      </c>
      <c r="Q78" s="7">
        <f t="shared" si="42"/>
        <v>0</v>
      </c>
      <c r="R78" s="1">
        <f t="shared" si="51"/>
        <v>0.81987099799706264</v>
      </c>
      <c r="S78">
        <f t="shared" si="52"/>
        <v>0.15915709468513095</v>
      </c>
      <c r="T78" s="1">
        <f t="shared" si="53"/>
        <v>5.5001002713213433E-2</v>
      </c>
      <c r="U78">
        <f t="shared" si="54"/>
        <v>4.8487925439186806E-2</v>
      </c>
      <c r="V78" s="1">
        <f t="shared" si="55"/>
        <v>0.12476156572270375</v>
      </c>
      <c r="W78">
        <f t="shared" si="56"/>
        <v>0.11030273567892412</v>
      </c>
      <c r="X78" s="1">
        <f t="shared" si="57"/>
        <v>0</v>
      </c>
      <c r="Y78">
        <f t="shared" si="58"/>
        <v>0</v>
      </c>
      <c r="AA78">
        <f t="shared" si="59"/>
        <v>8.1987099799706267E-2</v>
      </c>
      <c r="AB78">
        <f t="shared" si="60"/>
        <v>1.5915709468513096E-2</v>
      </c>
      <c r="AC78">
        <f t="shared" si="61"/>
        <v>5.5001002713213438E-3</v>
      </c>
      <c r="AD78">
        <f t="shared" si="62"/>
        <v>4.8487925439186811E-3</v>
      </c>
      <c r="AE78">
        <f t="shared" si="63"/>
        <v>1.2476156572270376E-2</v>
      </c>
      <c r="AF78">
        <f t="shared" si="64"/>
        <v>1.1030273567892414E-2</v>
      </c>
      <c r="AG78">
        <f t="shared" si="65"/>
        <v>0</v>
      </c>
      <c r="AH78">
        <f t="shared" si="66"/>
        <v>0</v>
      </c>
    </row>
    <row r="79" spans="1:34" ht="15" x14ac:dyDescent="0.2">
      <c r="B79">
        <v>4.8166666666666664</v>
      </c>
      <c r="C79">
        <v>0.89098931583208185</v>
      </c>
      <c r="D79">
        <v>5.2986181730366143E-3</v>
      </c>
      <c r="E79">
        <v>1.5176507803405894E-2</v>
      </c>
      <c r="F79">
        <v>0</v>
      </c>
      <c r="G79">
        <v>0.97949600196896691</v>
      </c>
      <c r="I79">
        <v>4.8166666666666664</v>
      </c>
      <c r="J79">
        <v>0.58621153828671602</v>
      </c>
      <c r="K79">
        <v>8.5485755008291198E-2</v>
      </c>
      <c r="L79">
        <v>0.25738698174873786</v>
      </c>
      <c r="M79">
        <v>0</v>
      </c>
      <c r="N79">
        <v>0.65618824390403963</v>
      </c>
      <c r="P79" s="6">
        <f t="shared" si="41"/>
        <v>4.8166666666666664</v>
      </c>
      <c r="Q79" s="7">
        <f t="shared" si="42"/>
        <v>0</v>
      </c>
      <c r="R79" s="1">
        <f t="shared" si="51"/>
        <v>0.81784212293650327</v>
      </c>
      <c r="S79">
        <f t="shared" si="52"/>
        <v>0.16165387903246348</v>
      </c>
      <c r="T79" s="1">
        <f t="shared" si="53"/>
        <v>4.5392186590663908E-2</v>
      </c>
      <c r="U79">
        <f t="shared" si="54"/>
        <v>4.009356841762729E-2</v>
      </c>
      <c r="V79" s="1">
        <f t="shared" si="55"/>
        <v>0.13628174477607188</v>
      </c>
      <c r="W79">
        <f t="shared" si="56"/>
        <v>0.12110523697266599</v>
      </c>
      <c r="X79" s="1">
        <f t="shared" si="57"/>
        <v>0</v>
      </c>
      <c r="Y79">
        <f t="shared" si="58"/>
        <v>0</v>
      </c>
      <c r="AA79">
        <f t="shared" si="59"/>
        <v>8.1784212293650335E-2</v>
      </c>
      <c r="AB79">
        <f t="shared" si="60"/>
        <v>1.6165387903246349E-2</v>
      </c>
      <c r="AC79">
        <f t="shared" si="61"/>
        <v>4.5392186590663911E-3</v>
      </c>
      <c r="AD79">
        <f t="shared" si="62"/>
        <v>4.0093568417627293E-3</v>
      </c>
      <c r="AE79">
        <f t="shared" si="63"/>
        <v>1.362817447760719E-2</v>
      </c>
      <c r="AF79">
        <f t="shared" si="64"/>
        <v>1.21105236972666E-2</v>
      </c>
      <c r="AG79">
        <f t="shared" si="65"/>
        <v>0</v>
      </c>
      <c r="AH79">
        <f t="shared" si="66"/>
        <v>0</v>
      </c>
    </row>
    <row r="80" spans="1:34" ht="15" x14ac:dyDescent="0.2">
      <c r="B80">
        <v>5.416666666666667</v>
      </c>
      <c r="C80">
        <v>0.88667226458870407</v>
      </c>
      <c r="D80">
        <v>4.5281011456072473E-3</v>
      </c>
      <c r="E80">
        <v>1.6363585884664723E-2</v>
      </c>
      <c r="F80">
        <v>0</v>
      </c>
      <c r="G80">
        <v>0.97907368725430288</v>
      </c>
      <c r="I80">
        <v>5.416666666666667</v>
      </c>
      <c r="J80">
        <v>0.58185598680865702</v>
      </c>
      <c r="K80">
        <v>7.4061359956500858E-2</v>
      </c>
      <c r="L80">
        <v>0.26743109204154009</v>
      </c>
      <c r="M80">
        <v>0</v>
      </c>
      <c r="N80">
        <v>0.65735388285455731</v>
      </c>
      <c r="P80" s="6">
        <f t="shared" si="41"/>
        <v>5.416666666666667</v>
      </c>
      <c r="Q80" s="7">
        <f t="shared" si="42"/>
        <v>0</v>
      </c>
      <c r="R80" s="1">
        <f t="shared" si="51"/>
        <v>0.8182137850544301</v>
      </c>
      <c r="S80">
        <f t="shared" si="52"/>
        <v>0.16085990219987295</v>
      </c>
      <c r="T80" s="1">
        <f t="shared" si="53"/>
        <v>3.929473055105405E-2</v>
      </c>
      <c r="U80">
        <f t="shared" si="54"/>
        <v>3.4766629405446808E-2</v>
      </c>
      <c r="V80" s="1">
        <f t="shared" si="55"/>
        <v>0.14189733896310242</v>
      </c>
      <c r="W80">
        <f t="shared" si="56"/>
        <v>0.12553375307843767</v>
      </c>
      <c r="X80" s="1">
        <f t="shared" si="57"/>
        <v>0</v>
      </c>
      <c r="Y80">
        <f t="shared" si="58"/>
        <v>0</v>
      </c>
      <c r="AA80">
        <f t="shared" si="59"/>
        <v>8.1821378505443021E-2</v>
      </c>
      <c r="AB80">
        <f t="shared" si="60"/>
        <v>1.6085990219987297E-2</v>
      </c>
      <c r="AC80">
        <f t="shared" si="61"/>
        <v>3.9294730551054048E-3</v>
      </c>
      <c r="AD80">
        <f t="shared" si="62"/>
        <v>3.4766629405446809E-3</v>
      </c>
      <c r="AE80">
        <f t="shared" si="63"/>
        <v>1.4189733896310243E-2</v>
      </c>
      <c r="AF80">
        <f t="shared" si="64"/>
        <v>1.2553375307843768E-2</v>
      </c>
      <c r="AG80">
        <f t="shared" si="65"/>
        <v>0</v>
      </c>
      <c r="AH80">
        <f t="shared" si="66"/>
        <v>0</v>
      </c>
    </row>
    <row r="81" spans="2:34" ht="15" x14ac:dyDescent="0.2">
      <c r="B81">
        <v>6.0166666666666666</v>
      </c>
      <c r="C81">
        <v>0.88238278601923392</v>
      </c>
      <c r="D81">
        <v>3.8582966777543927E-3</v>
      </c>
      <c r="E81">
        <v>1.6954032072494893E-2</v>
      </c>
      <c r="F81">
        <v>0</v>
      </c>
      <c r="G81">
        <v>0.9791574518195123</v>
      </c>
      <c r="I81">
        <v>6.0166666666666666</v>
      </c>
      <c r="J81">
        <v>0.57700903671015946</v>
      </c>
      <c r="K81">
        <v>6.2358022047276841E-2</v>
      </c>
      <c r="L81">
        <v>0.2801128422628405</v>
      </c>
      <c r="M81">
        <v>0</v>
      </c>
      <c r="N81">
        <v>0.65636526361089764</v>
      </c>
      <c r="P81" s="6">
        <f t="shared" si="41"/>
        <v>6.0166666666666666</v>
      </c>
      <c r="Q81" s="7">
        <f t="shared" si="42"/>
        <v>0</v>
      </c>
      <c r="R81" s="1">
        <f t="shared" si="51"/>
        <v>0.81776135771520497</v>
      </c>
      <c r="S81">
        <f t="shared" si="52"/>
        <v>0.16139609410430719</v>
      </c>
      <c r="T81" s="1">
        <f t="shared" si="53"/>
        <v>3.310815936251562E-2</v>
      </c>
      <c r="U81">
        <f t="shared" si="54"/>
        <v>2.9249862684761221E-2</v>
      </c>
      <c r="V81" s="1">
        <f t="shared" si="55"/>
        <v>0.1485334371676677</v>
      </c>
      <c r="W81">
        <f t="shared" si="56"/>
        <v>0.13157940509517282</v>
      </c>
      <c r="X81" s="1">
        <f t="shared" si="57"/>
        <v>0</v>
      </c>
      <c r="Y81">
        <f t="shared" si="58"/>
        <v>0</v>
      </c>
      <c r="AA81">
        <f t="shared" si="59"/>
        <v>8.17761357715205E-2</v>
      </c>
      <c r="AB81">
        <f t="shared" si="60"/>
        <v>1.613960941043072E-2</v>
      </c>
      <c r="AC81">
        <f t="shared" si="61"/>
        <v>3.3108159362515623E-3</v>
      </c>
      <c r="AD81">
        <f t="shared" si="62"/>
        <v>2.9249862684761225E-3</v>
      </c>
      <c r="AE81">
        <f t="shared" si="63"/>
        <v>1.4853343716766771E-2</v>
      </c>
      <c r="AF81">
        <f t="shared" si="64"/>
        <v>1.3157940509517282E-2</v>
      </c>
      <c r="AG81">
        <f t="shared" si="65"/>
        <v>0</v>
      </c>
      <c r="AH81">
        <f t="shared" si="66"/>
        <v>0</v>
      </c>
    </row>
    <row r="82" spans="2:34" ht="15" x14ac:dyDescent="0.2">
      <c r="B82">
        <v>6.6333333333333337</v>
      </c>
      <c r="C82">
        <v>0.87668764468212235</v>
      </c>
      <c r="D82">
        <v>3.0927982921831318E-3</v>
      </c>
      <c r="E82">
        <v>1.6979571433881246E-2</v>
      </c>
      <c r="F82">
        <v>0</v>
      </c>
      <c r="G82">
        <v>0.97990344409473773</v>
      </c>
      <c r="I82">
        <v>6.6333333333333337</v>
      </c>
      <c r="J82">
        <v>0.5705257525951356</v>
      </c>
      <c r="K82">
        <v>5.2742741732017338E-2</v>
      </c>
      <c r="L82">
        <v>0.29088890087207281</v>
      </c>
      <c r="M82">
        <v>0</v>
      </c>
      <c r="N82">
        <v>0.65466763426689478</v>
      </c>
      <c r="P82" s="6">
        <f t="shared" si="41"/>
        <v>6.6333333333333337</v>
      </c>
      <c r="Q82" s="7">
        <f t="shared" si="42"/>
        <v>0</v>
      </c>
      <c r="R82" s="1">
        <f t="shared" si="51"/>
        <v>0.81728553918081626</v>
      </c>
      <c r="S82">
        <f t="shared" si="52"/>
        <v>0.16261790491392181</v>
      </c>
      <c r="T82" s="1">
        <f t="shared" si="53"/>
        <v>2.7917770012100235E-2</v>
      </c>
      <c r="U82">
        <f t="shared" si="54"/>
        <v>2.4824971719917099E-2</v>
      </c>
      <c r="V82" s="1">
        <f t="shared" si="55"/>
        <v>0.15393423615297702</v>
      </c>
      <c r="W82">
        <f t="shared" si="56"/>
        <v>0.13695466471909579</v>
      </c>
      <c r="X82" s="1">
        <f t="shared" si="57"/>
        <v>0</v>
      </c>
      <c r="Y82">
        <f t="shared" si="58"/>
        <v>0</v>
      </c>
      <c r="AA82">
        <f t="shared" si="59"/>
        <v>8.1728553918081634E-2</v>
      </c>
      <c r="AB82">
        <f t="shared" si="60"/>
        <v>1.6261790491392182E-2</v>
      </c>
      <c r="AC82">
        <f t="shared" si="61"/>
        <v>2.7917770012100239E-3</v>
      </c>
      <c r="AD82">
        <f t="shared" si="62"/>
        <v>2.4824971719917101E-3</v>
      </c>
      <c r="AE82">
        <f t="shared" si="63"/>
        <v>1.5393423615297703E-2</v>
      </c>
      <c r="AF82">
        <f t="shared" si="64"/>
        <v>1.3695466471909579E-2</v>
      </c>
      <c r="AG82">
        <f t="shared" si="65"/>
        <v>0</v>
      </c>
      <c r="AH82">
        <f t="shared" si="66"/>
        <v>0</v>
      </c>
    </row>
    <row r="83" spans="2:34" ht="15" x14ac:dyDescent="0.2">
      <c r="B83">
        <v>7.2333333333333334</v>
      </c>
      <c r="C83">
        <v>0.8714876554862242</v>
      </c>
      <c r="D83">
        <v>2.7573762049481997E-3</v>
      </c>
      <c r="E83">
        <v>1.7732557208949465E-2</v>
      </c>
      <c r="F83">
        <v>0</v>
      </c>
      <c r="G83">
        <v>0.97947628927403363</v>
      </c>
      <c r="I83">
        <v>7.2333333333333334</v>
      </c>
      <c r="J83">
        <v>0.5805159244236342</v>
      </c>
      <c r="K83">
        <v>4.2533734984706709E-2</v>
      </c>
      <c r="L83">
        <v>0.2863462479891381</v>
      </c>
      <c r="M83">
        <v>0</v>
      </c>
      <c r="N83">
        <v>0.66930407303561923</v>
      </c>
      <c r="P83" s="6">
        <f t="shared" si="41"/>
        <v>7.2333333333333334</v>
      </c>
      <c r="Q83" s="7">
        <f t="shared" si="42"/>
        <v>0</v>
      </c>
      <c r="R83" s="1">
        <f t="shared" si="51"/>
        <v>0.82439018115482643</v>
      </c>
      <c r="S83">
        <f t="shared" si="52"/>
        <v>0.15508610811920709</v>
      </c>
      <c r="T83" s="1">
        <f t="shared" si="53"/>
        <v>2.2645555594827456E-2</v>
      </c>
      <c r="U83">
        <f t="shared" si="54"/>
        <v>1.9888179389879256E-2</v>
      </c>
      <c r="V83" s="1">
        <f t="shared" si="55"/>
        <v>0.15203940259904378</v>
      </c>
      <c r="W83">
        <f t="shared" si="56"/>
        <v>0.1343068453900943</v>
      </c>
      <c r="X83" s="1">
        <f t="shared" si="57"/>
        <v>0</v>
      </c>
      <c r="Y83">
        <f t="shared" si="58"/>
        <v>0</v>
      </c>
      <c r="AA83">
        <f t="shared" si="59"/>
        <v>8.2439018115482654E-2</v>
      </c>
      <c r="AB83">
        <f t="shared" si="60"/>
        <v>1.550861081192071E-2</v>
      </c>
      <c r="AC83">
        <f t="shared" si="61"/>
        <v>2.2645555594827458E-3</v>
      </c>
      <c r="AD83">
        <f t="shared" si="62"/>
        <v>1.9888179389879255E-3</v>
      </c>
      <c r="AE83">
        <f t="shared" si="63"/>
        <v>1.5203940259904378E-2</v>
      </c>
      <c r="AF83">
        <f t="shared" si="64"/>
        <v>1.3430684539009431E-2</v>
      </c>
      <c r="AG83">
        <f t="shared" si="65"/>
        <v>0</v>
      </c>
      <c r="AH83">
        <f t="shared" si="66"/>
        <v>0</v>
      </c>
    </row>
    <row r="84" spans="2:34" ht="15" x14ac:dyDescent="0.2">
      <c r="B84">
        <v>7.833333333333333</v>
      </c>
      <c r="C84">
        <v>0.87106190912626003</v>
      </c>
      <c r="D84">
        <v>2.2609510505884989E-3</v>
      </c>
      <c r="E84">
        <v>1.6675022940163407E-2</v>
      </c>
      <c r="F84">
        <v>0</v>
      </c>
      <c r="G84">
        <v>0.98102530734409799</v>
      </c>
      <c r="I84">
        <v>7.833333333333333</v>
      </c>
      <c r="J84">
        <v>0.57499992089045393</v>
      </c>
      <c r="K84">
        <v>3.6163632523589791E-2</v>
      </c>
      <c r="L84">
        <v>0.29171171722961631</v>
      </c>
      <c r="M84">
        <v>0</v>
      </c>
      <c r="N84">
        <v>0.67002170193091604</v>
      </c>
      <c r="P84" s="6">
        <f t="shared" si="41"/>
        <v>7.833333333333333</v>
      </c>
      <c r="Q84" s="7">
        <f t="shared" si="42"/>
        <v>0</v>
      </c>
      <c r="R84" s="1">
        <f t="shared" si="51"/>
        <v>0.82552350463750701</v>
      </c>
      <c r="S84">
        <f t="shared" si="52"/>
        <v>0.155501802706591</v>
      </c>
      <c r="T84" s="1">
        <f t="shared" si="53"/>
        <v>1.9212291787089143E-2</v>
      </c>
      <c r="U84">
        <f t="shared" si="54"/>
        <v>1.6951340736500647E-2</v>
      </c>
      <c r="V84" s="1">
        <f t="shared" si="55"/>
        <v>0.15419337008488987</v>
      </c>
      <c r="W84">
        <f t="shared" si="56"/>
        <v>0.13751834714472644</v>
      </c>
      <c r="X84" s="1">
        <f t="shared" si="57"/>
        <v>0</v>
      </c>
      <c r="Y84">
        <f t="shared" si="58"/>
        <v>0</v>
      </c>
      <c r="AA84">
        <f t="shared" si="59"/>
        <v>8.2552350463750701E-2</v>
      </c>
      <c r="AB84">
        <f t="shared" si="60"/>
        <v>1.5550180270659101E-2</v>
      </c>
      <c r="AC84">
        <f t="shared" si="61"/>
        <v>1.9212291787089144E-3</v>
      </c>
      <c r="AD84">
        <f t="shared" si="62"/>
        <v>1.6951340736500648E-3</v>
      </c>
      <c r="AE84">
        <f t="shared" si="63"/>
        <v>1.5419337008488987E-2</v>
      </c>
      <c r="AF84">
        <f t="shared" si="64"/>
        <v>1.3751834714472645E-2</v>
      </c>
      <c r="AG84">
        <f t="shared" si="65"/>
        <v>0</v>
      </c>
      <c r="AH84">
        <f t="shared" si="66"/>
        <v>0</v>
      </c>
    </row>
    <row r="85" spans="2:34" ht="15" x14ac:dyDescent="0.2">
      <c r="B85">
        <v>8.8833333333333329</v>
      </c>
      <c r="C85">
        <v>0.8627930617963081</v>
      </c>
      <c r="D85">
        <v>1.6679017612185199E-3</v>
      </c>
      <c r="E85">
        <v>1.7877964428443516E-2</v>
      </c>
      <c r="F85">
        <v>0</v>
      </c>
      <c r="G85">
        <v>0.98040014489532179</v>
      </c>
      <c r="I85">
        <v>8.8833333333333329</v>
      </c>
      <c r="J85">
        <v>0.57881966822725339</v>
      </c>
      <c r="K85">
        <v>2.7211649286460752E-2</v>
      </c>
      <c r="L85">
        <v>0.29159336009727849</v>
      </c>
      <c r="M85">
        <v>0</v>
      </c>
      <c r="N85">
        <v>0.67862898354955414</v>
      </c>
      <c r="P85" s="6">
        <f t="shared" si="41"/>
        <v>8.8833333333333329</v>
      </c>
      <c r="Q85" s="7">
        <f t="shared" si="42"/>
        <v>0</v>
      </c>
      <c r="R85" s="1">
        <f t="shared" si="51"/>
        <v>0.82951456422243797</v>
      </c>
      <c r="S85">
        <f t="shared" si="52"/>
        <v>0.15088558067288357</v>
      </c>
      <c r="T85" s="1">
        <f t="shared" si="53"/>
        <v>1.4439775523839637E-2</v>
      </c>
      <c r="U85">
        <f t="shared" si="54"/>
        <v>1.2771873762621115E-2</v>
      </c>
      <c r="V85" s="1">
        <f t="shared" si="55"/>
        <v>0.15473566226286101</v>
      </c>
      <c r="W85">
        <f t="shared" si="56"/>
        <v>0.13685769783441748</v>
      </c>
      <c r="X85" s="1">
        <f t="shared" si="57"/>
        <v>0</v>
      </c>
      <c r="Y85">
        <f t="shared" si="58"/>
        <v>0</v>
      </c>
      <c r="AA85">
        <f t="shared" si="59"/>
        <v>8.2951456422243802E-2</v>
      </c>
      <c r="AB85">
        <f t="shared" si="60"/>
        <v>1.5088558067288357E-2</v>
      </c>
      <c r="AC85">
        <f t="shared" si="61"/>
        <v>1.4439775523839638E-3</v>
      </c>
      <c r="AD85">
        <f t="shared" si="62"/>
        <v>1.2771873762621117E-3</v>
      </c>
      <c r="AE85">
        <f t="shared" si="63"/>
        <v>1.5473566226286102E-2</v>
      </c>
      <c r="AF85">
        <f t="shared" si="64"/>
        <v>1.3685769783441749E-2</v>
      </c>
      <c r="AG85">
        <f t="shared" si="65"/>
        <v>0</v>
      </c>
      <c r="AH85">
        <f t="shared" si="66"/>
        <v>0</v>
      </c>
    </row>
    <row r="86" spans="2:34" ht="15" x14ac:dyDescent="0.2">
      <c r="B86">
        <v>9.9166666666666661</v>
      </c>
      <c r="C86">
        <v>0.85392944809516225</v>
      </c>
      <c r="D86">
        <v>1.3075226593092654E-3</v>
      </c>
      <c r="E86">
        <v>1.8298492309330366E-2</v>
      </c>
      <c r="F86">
        <v>0</v>
      </c>
      <c r="G86">
        <v>0.98035778531539319</v>
      </c>
      <c r="I86">
        <v>9.9333333333333336</v>
      </c>
      <c r="J86">
        <v>0.57826193351902122</v>
      </c>
      <c r="K86">
        <v>2.1577499683164098E-2</v>
      </c>
      <c r="L86">
        <v>0.29299857880640967</v>
      </c>
      <c r="M86">
        <v>0</v>
      </c>
      <c r="N86">
        <v>0.68206290409689241</v>
      </c>
      <c r="P86" s="6">
        <f t="shared" si="41"/>
        <v>9.9250000000000007</v>
      </c>
      <c r="Q86" s="7">
        <f t="shared" si="42"/>
        <v>8.3333333333337478E-3</v>
      </c>
      <c r="R86" s="1">
        <f t="shared" si="51"/>
        <v>0.83121034470614275</v>
      </c>
      <c r="S86">
        <f t="shared" si="52"/>
        <v>0.14914744060925045</v>
      </c>
      <c r="T86" s="1">
        <f t="shared" si="53"/>
        <v>1.1442511171236682E-2</v>
      </c>
      <c r="U86">
        <f t="shared" si="54"/>
        <v>1.0134988511927415E-2</v>
      </c>
      <c r="V86" s="1">
        <f t="shared" si="55"/>
        <v>0.15564853555787</v>
      </c>
      <c r="W86">
        <f t="shared" si="56"/>
        <v>0.13735004324853967</v>
      </c>
      <c r="X86" s="1">
        <f t="shared" si="57"/>
        <v>0</v>
      </c>
      <c r="Y86">
        <f t="shared" si="58"/>
        <v>0</v>
      </c>
      <c r="AA86">
        <f t="shared" si="59"/>
        <v>8.312103447061428E-2</v>
      </c>
      <c r="AB86">
        <f t="shared" si="60"/>
        <v>1.4914744060925045E-2</v>
      </c>
      <c r="AC86">
        <f t="shared" si="61"/>
        <v>1.1442511171236682E-3</v>
      </c>
      <c r="AD86">
        <f t="shared" si="62"/>
        <v>1.0134988511927416E-3</v>
      </c>
      <c r="AE86">
        <f t="shared" si="63"/>
        <v>1.5564853555787002E-2</v>
      </c>
      <c r="AF86">
        <f t="shared" si="64"/>
        <v>1.3735004324853967E-2</v>
      </c>
      <c r="AG86">
        <f t="shared" si="65"/>
        <v>0</v>
      </c>
      <c r="AH86">
        <f t="shared" si="66"/>
        <v>0</v>
      </c>
    </row>
    <row r="87" spans="2:34" ht="15" x14ac:dyDescent="0.2">
      <c r="B87">
        <v>10.966666666666667</v>
      </c>
      <c r="C87">
        <v>0.84864491724113233</v>
      </c>
      <c r="D87">
        <v>8.987959923807419E-4</v>
      </c>
      <c r="E87">
        <v>1.7442513681876062E-2</v>
      </c>
      <c r="F87">
        <v>0</v>
      </c>
      <c r="G87">
        <v>0.98160575244075754</v>
      </c>
      <c r="I87">
        <v>10.966666666666667</v>
      </c>
      <c r="J87">
        <v>0.57724799686654249</v>
      </c>
      <c r="K87">
        <v>1.6603444212168805E-2</v>
      </c>
      <c r="L87">
        <v>0.2926376463953162</v>
      </c>
      <c r="M87">
        <v>0</v>
      </c>
      <c r="N87">
        <v>0.68674337354621628</v>
      </c>
      <c r="P87" s="6">
        <f t="shared" si="41"/>
        <v>10.966666666666667</v>
      </c>
      <c r="Q87" s="7">
        <f t="shared" si="42"/>
        <v>0</v>
      </c>
      <c r="R87" s="1">
        <f t="shared" si="51"/>
        <v>0.83417456299348691</v>
      </c>
      <c r="S87">
        <f t="shared" si="52"/>
        <v>0.14743118944727082</v>
      </c>
      <c r="T87" s="1">
        <f t="shared" si="53"/>
        <v>8.7511201022747731E-3</v>
      </c>
      <c r="U87">
        <f t="shared" si="54"/>
        <v>7.8523241098940322E-3</v>
      </c>
      <c r="V87" s="1">
        <f t="shared" si="55"/>
        <v>0.15504008003859612</v>
      </c>
      <c r="W87">
        <f t="shared" si="56"/>
        <v>0.1375975663567201</v>
      </c>
      <c r="X87" s="1">
        <f t="shared" si="57"/>
        <v>0</v>
      </c>
      <c r="Y87">
        <f t="shared" si="58"/>
        <v>0</v>
      </c>
      <c r="AA87">
        <f t="shared" si="59"/>
        <v>8.34174562993487E-2</v>
      </c>
      <c r="AB87">
        <f t="shared" si="60"/>
        <v>1.4743118944727083E-2</v>
      </c>
      <c r="AC87">
        <f t="shared" si="61"/>
        <v>8.7511201022747733E-4</v>
      </c>
      <c r="AD87">
        <f t="shared" si="62"/>
        <v>7.8523241098940328E-4</v>
      </c>
      <c r="AE87">
        <f t="shared" si="63"/>
        <v>1.5504008003859614E-2</v>
      </c>
      <c r="AF87">
        <f t="shared" si="64"/>
        <v>1.3759756635672011E-2</v>
      </c>
      <c r="AG87">
        <f t="shared" si="65"/>
        <v>0</v>
      </c>
      <c r="AH87">
        <f t="shared" si="66"/>
        <v>0</v>
      </c>
    </row>
    <row r="88" spans="2:34" ht="15" x14ac:dyDescent="0.2">
      <c r="B88">
        <v>12</v>
      </c>
      <c r="C88">
        <v>0.84706191742273318</v>
      </c>
      <c r="D88">
        <v>7.4198945936098997E-4</v>
      </c>
      <c r="E88">
        <v>1.7693077884915826E-2</v>
      </c>
      <c r="F88">
        <v>0</v>
      </c>
      <c r="G88">
        <v>0.98146674615115725</v>
      </c>
      <c r="I88">
        <v>12.016666666666667</v>
      </c>
      <c r="J88">
        <v>0.56377352193789931</v>
      </c>
      <c r="K88">
        <v>1.3404074195421853E-2</v>
      </c>
      <c r="L88">
        <v>0.30210709863399116</v>
      </c>
      <c r="M88">
        <v>0</v>
      </c>
      <c r="N88">
        <v>0.67949450688789204</v>
      </c>
      <c r="P88" s="6">
        <f t="shared" si="41"/>
        <v>12.008333333333333</v>
      </c>
      <c r="Q88" s="7">
        <f t="shared" si="42"/>
        <v>8.3333333333337478E-3</v>
      </c>
      <c r="R88" s="1">
        <f t="shared" si="51"/>
        <v>0.83048062651952459</v>
      </c>
      <c r="S88">
        <f t="shared" si="52"/>
        <v>0.15098611963163278</v>
      </c>
      <c r="T88" s="1">
        <f t="shared" si="53"/>
        <v>7.0730318273914215E-3</v>
      </c>
      <c r="U88">
        <f t="shared" si="54"/>
        <v>6.3310423680304311E-3</v>
      </c>
      <c r="V88" s="1">
        <f t="shared" si="55"/>
        <v>0.15990008825945348</v>
      </c>
      <c r="W88">
        <f t="shared" si="56"/>
        <v>0.14220701037453767</v>
      </c>
      <c r="X88" s="1">
        <f t="shared" si="57"/>
        <v>0</v>
      </c>
      <c r="Y88">
        <f t="shared" si="58"/>
        <v>0</v>
      </c>
      <c r="AA88">
        <f t="shared" si="59"/>
        <v>8.304806265195247E-2</v>
      </c>
      <c r="AB88">
        <f t="shared" si="60"/>
        <v>1.5098611963163278E-2</v>
      </c>
      <c r="AC88">
        <f t="shared" si="61"/>
        <v>7.0730318273914223E-4</v>
      </c>
      <c r="AD88">
        <f t="shared" si="62"/>
        <v>6.3310423680304311E-4</v>
      </c>
      <c r="AE88">
        <f t="shared" si="63"/>
        <v>1.599000882594535E-2</v>
      </c>
      <c r="AF88">
        <f t="shared" si="64"/>
        <v>1.4220701037453768E-2</v>
      </c>
      <c r="AG88">
        <f t="shared" si="65"/>
        <v>0</v>
      </c>
      <c r="AH88">
        <f t="shared" si="66"/>
        <v>0</v>
      </c>
    </row>
    <row r="89" spans="2:34" ht="15" x14ac:dyDescent="0.2">
      <c r="B89">
        <v>13.05</v>
      </c>
      <c r="C89">
        <v>0.83678526542321841</v>
      </c>
      <c r="D89">
        <v>5.4275440176840533E-4</v>
      </c>
      <c r="E89">
        <v>1.7158735631938805E-2</v>
      </c>
      <c r="F89">
        <v>0</v>
      </c>
      <c r="G89">
        <v>0.98222427077382091</v>
      </c>
      <c r="I89">
        <v>13.05</v>
      </c>
      <c r="J89">
        <v>0.5752513497728321</v>
      </c>
      <c r="K89">
        <v>1.0760653860011635E-2</v>
      </c>
      <c r="L89">
        <v>0.28650049122602622</v>
      </c>
      <c r="M89">
        <v>0</v>
      </c>
      <c r="N89">
        <v>0.69692562676414682</v>
      </c>
      <c r="P89" s="6">
        <f t="shared" si="41"/>
        <v>13.05</v>
      </c>
      <c r="Q89" s="7">
        <f t="shared" si="42"/>
        <v>0</v>
      </c>
      <c r="R89" s="1">
        <f t="shared" si="51"/>
        <v>0.83957494876898386</v>
      </c>
      <c r="S89">
        <f t="shared" si="52"/>
        <v>0.14264932200483713</v>
      </c>
      <c r="T89" s="1">
        <f t="shared" si="53"/>
        <v>5.6517041308900198E-3</v>
      </c>
      <c r="U89">
        <f t="shared" si="54"/>
        <v>5.1089497291216153E-3</v>
      </c>
      <c r="V89" s="1">
        <f t="shared" si="55"/>
        <v>0.15182961342898252</v>
      </c>
      <c r="W89">
        <f t="shared" si="56"/>
        <v>0.1346708777970437</v>
      </c>
      <c r="X89" s="1">
        <f t="shared" si="57"/>
        <v>0</v>
      </c>
      <c r="Y89">
        <f t="shared" si="58"/>
        <v>0</v>
      </c>
      <c r="AA89">
        <f t="shared" si="59"/>
        <v>8.3957494876898395E-2</v>
      </c>
      <c r="AB89">
        <f t="shared" si="60"/>
        <v>1.4264932200483714E-2</v>
      </c>
      <c r="AC89">
        <f t="shared" si="61"/>
        <v>5.6517041308900195E-4</v>
      </c>
      <c r="AD89">
        <f t="shared" si="62"/>
        <v>5.1089497291216155E-4</v>
      </c>
      <c r="AE89">
        <f t="shared" si="63"/>
        <v>1.5182961342898253E-2</v>
      </c>
      <c r="AF89">
        <f t="shared" si="64"/>
        <v>1.3467087779704371E-2</v>
      </c>
      <c r="AG89">
        <f t="shared" si="65"/>
        <v>0</v>
      </c>
      <c r="AH89">
        <f t="shared" si="66"/>
        <v>0</v>
      </c>
    </row>
    <row r="90" spans="2:34" ht="15" x14ac:dyDescent="0.2">
      <c r="B90">
        <v>14.216666666666667</v>
      </c>
      <c r="C90">
        <v>0.83147362386388401</v>
      </c>
      <c r="D90">
        <v>3.7748277052788624E-4</v>
      </c>
      <c r="E90">
        <v>1.8097383863328768E-2</v>
      </c>
      <c r="F90">
        <v>0</v>
      </c>
      <c r="G90">
        <v>0.98144572877366143</v>
      </c>
      <c r="I90">
        <v>14.233333333333333</v>
      </c>
      <c r="J90">
        <v>0.57294392425928586</v>
      </c>
      <c r="K90">
        <v>8.0574563102309166E-3</v>
      </c>
      <c r="L90">
        <v>0.28128781301508454</v>
      </c>
      <c r="M90">
        <v>0</v>
      </c>
      <c r="N90">
        <v>0.70414364521509221</v>
      </c>
      <c r="P90" s="6">
        <f t="shared" si="41"/>
        <v>14.225</v>
      </c>
      <c r="Q90" s="7">
        <f t="shared" si="42"/>
        <v>8.3333333333328596E-3</v>
      </c>
      <c r="R90" s="1">
        <f t="shared" si="51"/>
        <v>0.84279468699437676</v>
      </c>
      <c r="S90">
        <f t="shared" si="52"/>
        <v>0.13865104177928508</v>
      </c>
      <c r="T90" s="1">
        <f t="shared" si="53"/>
        <v>4.2174695403794015E-3</v>
      </c>
      <c r="U90">
        <f t="shared" si="54"/>
        <v>3.8399867698515151E-3</v>
      </c>
      <c r="V90" s="1">
        <f t="shared" si="55"/>
        <v>0.14969259843920665</v>
      </c>
      <c r="W90">
        <f t="shared" si="56"/>
        <v>0.13159521457587789</v>
      </c>
      <c r="X90" s="1">
        <f t="shared" si="57"/>
        <v>0</v>
      </c>
      <c r="Y90">
        <f t="shared" si="58"/>
        <v>0</v>
      </c>
      <c r="AA90">
        <f t="shared" si="59"/>
        <v>8.4279468699437685E-2</v>
      </c>
      <c r="AB90">
        <f t="shared" si="60"/>
        <v>1.3865104177928508E-2</v>
      </c>
      <c r="AC90">
        <f t="shared" si="61"/>
        <v>4.217469540379402E-4</v>
      </c>
      <c r="AD90">
        <f t="shared" si="62"/>
        <v>3.8399867698515151E-4</v>
      </c>
      <c r="AE90">
        <f t="shared" si="63"/>
        <v>1.4969259843920666E-2</v>
      </c>
      <c r="AF90">
        <f t="shared" si="64"/>
        <v>1.3159521457587789E-2</v>
      </c>
      <c r="AG90">
        <f t="shared" si="65"/>
        <v>0</v>
      </c>
      <c r="AH90">
        <f t="shared" si="66"/>
        <v>0</v>
      </c>
    </row>
    <row r="91" spans="2:34" ht="15" x14ac:dyDescent="0.2">
      <c r="B91">
        <v>23.533333333333335</v>
      </c>
      <c r="C91">
        <v>0.78485596282358117</v>
      </c>
      <c r="D91">
        <v>3.7853363739104305E-5</v>
      </c>
      <c r="E91">
        <v>1.5377911519408248E-2</v>
      </c>
      <c r="F91">
        <v>0</v>
      </c>
      <c r="G91">
        <v>0.98450850927909572</v>
      </c>
      <c r="I91">
        <v>23.533333333333335</v>
      </c>
      <c r="J91">
        <v>0.56826286513490287</v>
      </c>
      <c r="K91">
        <v>1.691872945914034E-3</v>
      </c>
      <c r="L91">
        <v>0.24328376421896628</v>
      </c>
      <c r="M91">
        <v>0</v>
      </c>
      <c r="N91">
        <v>0.74001113340813141</v>
      </c>
      <c r="P91" s="6">
        <f t="shared" si="41"/>
        <v>23.533333333333335</v>
      </c>
      <c r="Q91" s="7">
        <f t="shared" si="42"/>
        <v>0</v>
      </c>
      <c r="R91" s="1">
        <f t="shared" si="51"/>
        <v>0.86225982134361356</v>
      </c>
      <c r="S91">
        <f t="shared" si="52"/>
        <v>0.12224868793548227</v>
      </c>
      <c r="T91" s="1">
        <f t="shared" si="53"/>
        <v>8.6486315482656921E-4</v>
      </c>
      <c r="U91">
        <f t="shared" si="54"/>
        <v>8.2700979108746493E-4</v>
      </c>
      <c r="V91" s="1">
        <f t="shared" si="55"/>
        <v>0.12933083786918725</v>
      </c>
      <c r="W91">
        <f t="shared" si="56"/>
        <v>0.11395292634977902</v>
      </c>
      <c r="X91" s="1">
        <f t="shared" si="57"/>
        <v>0</v>
      </c>
      <c r="Y91">
        <f t="shared" si="58"/>
        <v>0</v>
      </c>
      <c r="AA91">
        <f t="shared" si="59"/>
        <v>8.6225982134361362E-2</v>
      </c>
      <c r="AB91">
        <f t="shared" si="60"/>
        <v>1.2224868793548227E-2</v>
      </c>
      <c r="AC91">
        <f t="shared" si="61"/>
        <v>8.6486315482656924E-5</v>
      </c>
      <c r="AD91">
        <f t="shared" si="62"/>
        <v>8.2700979108746504E-5</v>
      </c>
      <c r="AE91">
        <f t="shared" si="63"/>
        <v>1.2933083786918726E-2</v>
      </c>
      <c r="AF91">
        <f t="shared" si="64"/>
        <v>1.1395292634977903E-2</v>
      </c>
      <c r="AG91">
        <f t="shared" si="65"/>
        <v>0</v>
      </c>
      <c r="AH91">
        <f t="shared" si="66"/>
        <v>0</v>
      </c>
    </row>
    <row r="92" spans="2:34" ht="15" x14ac:dyDescent="0.2">
      <c r="B92">
        <v>27.383333333333333</v>
      </c>
      <c r="C92">
        <v>0.76902955292080633</v>
      </c>
      <c r="D92">
        <v>0</v>
      </c>
      <c r="E92">
        <v>1.3480951750658778E-2</v>
      </c>
      <c r="F92">
        <v>0</v>
      </c>
      <c r="G92">
        <v>0.98641439871010517</v>
      </c>
      <c r="I92">
        <v>27.383333333333333</v>
      </c>
      <c r="J92">
        <v>0.55708841568373946</v>
      </c>
      <c r="K92">
        <v>4.7891442084957245E-3</v>
      </c>
      <c r="L92">
        <v>0.22612314203978182</v>
      </c>
      <c r="M92">
        <v>0</v>
      </c>
      <c r="N92">
        <v>0.74877683237298298</v>
      </c>
      <c r="P92" s="6">
        <f t="shared" si="41"/>
        <v>27.383333333333333</v>
      </c>
      <c r="Q92" s="7">
        <f t="shared" si="42"/>
        <v>0</v>
      </c>
      <c r="R92" s="1">
        <f t="shared" si="51"/>
        <v>0.86759561554154407</v>
      </c>
      <c r="S92">
        <f t="shared" si="52"/>
        <v>0.11881878316856127</v>
      </c>
      <c r="T92" s="1">
        <f t="shared" si="53"/>
        <v>2.3945721042478623E-3</v>
      </c>
      <c r="U92">
        <f t="shared" si="54"/>
        <v>2.3945721042478623E-3</v>
      </c>
      <c r="V92" s="1">
        <f t="shared" si="55"/>
        <v>0.1198020468952203</v>
      </c>
      <c r="W92">
        <f t="shared" si="56"/>
        <v>0.10632109514456152</v>
      </c>
      <c r="X92" s="1">
        <f t="shared" si="57"/>
        <v>0</v>
      </c>
      <c r="Y92">
        <f t="shared" si="58"/>
        <v>0</v>
      </c>
      <c r="AA92">
        <f t="shared" si="59"/>
        <v>8.6759561554154416E-2</v>
      </c>
      <c r="AB92">
        <f t="shared" si="60"/>
        <v>1.1881878316856128E-2</v>
      </c>
      <c r="AC92">
        <f t="shared" si="61"/>
        <v>2.3945721042478623E-4</v>
      </c>
      <c r="AD92">
        <f t="shared" si="62"/>
        <v>2.3945721042478623E-4</v>
      </c>
      <c r="AE92">
        <f t="shared" si="63"/>
        <v>1.1980204689522031E-2</v>
      </c>
      <c r="AF92">
        <f t="shared" si="64"/>
        <v>1.0632109514456152E-2</v>
      </c>
      <c r="AG92">
        <f t="shared" si="65"/>
        <v>0</v>
      </c>
      <c r="AH92">
        <f t="shared" si="66"/>
        <v>0</v>
      </c>
    </row>
    <row r="93" spans="2:34" ht="15" x14ac:dyDescent="0.2">
      <c r="B93">
        <v>37.333333333333336</v>
      </c>
      <c r="C93">
        <v>0.72473940801200698</v>
      </c>
      <c r="D93">
        <v>0</v>
      </c>
      <c r="E93">
        <v>1.2324557012612543E-2</v>
      </c>
      <c r="F93">
        <v>0</v>
      </c>
      <c r="G93">
        <v>0.9875992324757803</v>
      </c>
      <c r="I93">
        <v>37.233333333333334</v>
      </c>
      <c r="J93">
        <v>0.55436525283286142</v>
      </c>
      <c r="K93">
        <v>9.8525629497267229E-5</v>
      </c>
      <c r="L93">
        <v>0.17692097026558271</v>
      </c>
      <c r="M93">
        <v>0</v>
      </c>
      <c r="N93">
        <v>0.79176504232952827</v>
      </c>
      <c r="P93" s="6">
        <f t="shared" si="41"/>
        <v>37.283333333333331</v>
      </c>
      <c r="Q93" s="7">
        <f t="shared" si="42"/>
        <v>5.0000000000000711E-2</v>
      </c>
      <c r="R93" s="1">
        <f t="shared" si="51"/>
        <v>0.88968213740265423</v>
      </c>
      <c r="S93">
        <f t="shared" si="52"/>
        <v>9.7917095073126487E-2</v>
      </c>
      <c r="T93" s="1">
        <f t="shared" si="53"/>
        <v>4.9262814748633615E-5</v>
      </c>
      <c r="U93">
        <f t="shared" si="54"/>
        <v>4.9262814748633615E-5</v>
      </c>
      <c r="V93" s="1">
        <f t="shared" si="55"/>
        <v>9.4622763639097621E-2</v>
      </c>
      <c r="W93">
        <f t="shared" si="56"/>
        <v>8.2298206626485099E-2</v>
      </c>
      <c r="X93" s="1">
        <f t="shared" si="57"/>
        <v>0</v>
      </c>
      <c r="Y93">
        <f t="shared" si="58"/>
        <v>0</v>
      </c>
      <c r="AA93">
        <f t="shared" si="59"/>
        <v>8.8968213740265423E-2</v>
      </c>
      <c r="AB93">
        <f t="shared" si="60"/>
        <v>9.7917095073126494E-3</v>
      </c>
      <c r="AC93">
        <f t="shared" si="61"/>
        <v>4.9262814748633621E-6</v>
      </c>
      <c r="AD93">
        <f t="shared" si="62"/>
        <v>4.9262814748633621E-6</v>
      </c>
      <c r="AE93">
        <f t="shared" si="63"/>
        <v>9.4622763639097621E-3</v>
      </c>
      <c r="AF93">
        <f t="shared" si="64"/>
        <v>8.2298206626485095E-3</v>
      </c>
      <c r="AG93">
        <f t="shared" si="65"/>
        <v>0</v>
      </c>
      <c r="AH93">
        <f t="shared" si="66"/>
        <v>0</v>
      </c>
    </row>
    <row r="94" spans="2:34" ht="15" x14ac:dyDescent="0.2">
      <c r="B94">
        <v>45.983333333333334</v>
      </c>
      <c r="C94">
        <v>0.70220226610515146</v>
      </c>
      <c r="D94">
        <v>0</v>
      </c>
      <c r="E94">
        <v>1.1165760769621924E-2</v>
      </c>
      <c r="F94">
        <v>0</v>
      </c>
      <c r="G94">
        <v>0.98874998035962769</v>
      </c>
      <c r="I94">
        <v>45.983333333333334</v>
      </c>
      <c r="J94">
        <v>0.55293185320104365</v>
      </c>
      <c r="K94">
        <v>0</v>
      </c>
      <c r="L94">
        <v>0.1460743678843042</v>
      </c>
      <c r="M94">
        <v>0</v>
      </c>
      <c r="N94">
        <v>0.81306158821188013</v>
      </c>
      <c r="P94" s="6">
        <f t="shared" si="41"/>
        <v>45.983333333333334</v>
      </c>
      <c r="Q94" s="7">
        <f t="shared" si="42"/>
        <v>0</v>
      </c>
      <c r="R94" s="1">
        <f t="shared" si="51"/>
        <v>0.90090578428575396</v>
      </c>
      <c r="S94">
        <f t="shared" si="52"/>
        <v>8.7844196073873781E-2</v>
      </c>
      <c r="T94" s="1">
        <f t="shared" si="53"/>
        <v>0</v>
      </c>
      <c r="U94">
        <f t="shared" si="54"/>
        <v>0</v>
      </c>
      <c r="V94" s="1">
        <f t="shared" si="55"/>
        <v>7.8620064326963057E-2</v>
      </c>
      <c r="W94">
        <f t="shared" si="56"/>
        <v>6.7454303557341139E-2</v>
      </c>
      <c r="X94" s="1">
        <f t="shared" si="57"/>
        <v>0</v>
      </c>
      <c r="Y94">
        <f t="shared" si="58"/>
        <v>0</v>
      </c>
      <c r="AA94">
        <f t="shared" si="59"/>
        <v>9.0090578428575402E-2</v>
      </c>
      <c r="AB94">
        <f t="shared" si="60"/>
        <v>8.7844196073873781E-3</v>
      </c>
      <c r="AC94">
        <f t="shared" si="61"/>
        <v>0</v>
      </c>
      <c r="AD94">
        <f t="shared" si="62"/>
        <v>0</v>
      </c>
      <c r="AE94">
        <f t="shared" si="63"/>
        <v>7.8620064326963054E-3</v>
      </c>
      <c r="AF94">
        <f t="shared" si="64"/>
        <v>6.7454303557341142E-3</v>
      </c>
      <c r="AG94">
        <f t="shared" si="65"/>
        <v>0</v>
      </c>
      <c r="AH94">
        <f t="shared" si="66"/>
        <v>0</v>
      </c>
    </row>
    <row r="95" spans="2:34" ht="15" x14ac:dyDescent="0.2">
      <c r="B95">
        <v>61.583333333333336</v>
      </c>
      <c r="C95">
        <v>0.66444450743291217</v>
      </c>
      <c r="D95">
        <v>0</v>
      </c>
      <c r="E95">
        <v>9.0259382496687066E-3</v>
      </c>
      <c r="F95">
        <v>0</v>
      </c>
      <c r="G95">
        <v>0.99089909761238459</v>
      </c>
      <c r="I95">
        <v>61.6</v>
      </c>
      <c r="J95">
        <v>0.54167321898193854</v>
      </c>
      <c r="K95">
        <v>0</v>
      </c>
      <c r="L95">
        <v>9.9107917156744302E-2</v>
      </c>
      <c r="M95">
        <v>0</v>
      </c>
      <c r="N95">
        <v>0.84539906660578035</v>
      </c>
      <c r="P95" s="6">
        <f t="shared" si="41"/>
        <v>61.591666666666669</v>
      </c>
      <c r="Q95" s="7">
        <f t="shared" si="42"/>
        <v>8.3333333333328596E-3</v>
      </c>
      <c r="R95" s="1">
        <f t="shared" si="51"/>
        <v>0.91814908210908253</v>
      </c>
      <c r="S95">
        <f t="shared" si="52"/>
        <v>7.2750015503302123E-2</v>
      </c>
      <c r="T95" s="1">
        <f t="shared" si="53"/>
        <v>0</v>
      </c>
      <c r="U95">
        <f t="shared" si="54"/>
        <v>0</v>
      </c>
      <c r="V95" s="1">
        <f t="shared" si="55"/>
        <v>5.4066927703206508E-2</v>
      </c>
      <c r="W95">
        <f t="shared" si="56"/>
        <v>4.5040989453537794E-2</v>
      </c>
      <c r="X95" s="1">
        <f t="shared" si="57"/>
        <v>0</v>
      </c>
      <c r="Y95">
        <f t="shared" si="58"/>
        <v>0</v>
      </c>
      <c r="AA95">
        <f t="shared" si="59"/>
        <v>9.1814908210908264E-2</v>
      </c>
      <c r="AB95">
        <f t="shared" si="60"/>
        <v>7.2750015503302125E-3</v>
      </c>
      <c r="AC95">
        <f t="shared" si="61"/>
        <v>0</v>
      </c>
      <c r="AD95">
        <f t="shared" si="62"/>
        <v>0</v>
      </c>
      <c r="AE95">
        <f t="shared" si="63"/>
        <v>5.4066927703206513E-3</v>
      </c>
      <c r="AF95">
        <f t="shared" si="64"/>
        <v>4.5040989453537794E-3</v>
      </c>
      <c r="AG95">
        <f t="shared" si="65"/>
        <v>0</v>
      </c>
      <c r="AH95">
        <f t="shared" si="66"/>
        <v>0</v>
      </c>
    </row>
    <row r="96" spans="2:34" ht="15" x14ac:dyDescent="0.2">
      <c r="B96">
        <v>70.400000000000006</v>
      </c>
      <c r="C96">
        <v>0.6374901656066233</v>
      </c>
      <c r="D96">
        <v>0</v>
      </c>
      <c r="E96">
        <v>7.8643305930955858E-3</v>
      </c>
      <c r="F96">
        <v>0</v>
      </c>
      <c r="G96">
        <v>0.99204950308447737</v>
      </c>
      <c r="I96">
        <v>70.400000000000006</v>
      </c>
      <c r="J96">
        <v>0.53141234028191742</v>
      </c>
      <c r="K96">
        <v>0</v>
      </c>
      <c r="L96">
        <v>7.7979856676893097E-2</v>
      </c>
      <c r="M96">
        <v>0</v>
      </c>
      <c r="N96">
        <v>0.86106340508611889</v>
      </c>
      <c r="P96" s="6">
        <f t="shared" si="41"/>
        <v>70.400000000000006</v>
      </c>
      <c r="Q96" s="7">
        <f t="shared" si="42"/>
        <v>0</v>
      </c>
      <c r="R96" s="1">
        <f t="shared" si="51"/>
        <v>0.92655645408529819</v>
      </c>
      <c r="S96">
        <f t="shared" si="52"/>
        <v>6.5493048999179238E-2</v>
      </c>
      <c r="T96" s="1">
        <f t="shared" si="53"/>
        <v>0</v>
      </c>
      <c r="U96">
        <f t="shared" si="54"/>
        <v>0</v>
      </c>
      <c r="V96" s="1">
        <f t="shared" si="55"/>
        <v>4.2922093634994343E-2</v>
      </c>
      <c r="W96">
        <f t="shared" si="56"/>
        <v>3.5057763041898754E-2</v>
      </c>
      <c r="X96" s="1">
        <f t="shared" si="57"/>
        <v>0</v>
      </c>
      <c r="Y96">
        <f t="shared" si="58"/>
        <v>0</v>
      </c>
      <c r="AA96">
        <f t="shared" si="59"/>
        <v>9.265564540852983E-2</v>
      </c>
      <c r="AB96">
        <f t="shared" si="60"/>
        <v>6.5493048999179238E-3</v>
      </c>
      <c r="AC96">
        <f t="shared" si="61"/>
        <v>0</v>
      </c>
      <c r="AD96">
        <f t="shared" si="62"/>
        <v>0</v>
      </c>
      <c r="AE96">
        <f t="shared" si="63"/>
        <v>4.2922093634994345E-3</v>
      </c>
      <c r="AF96">
        <f t="shared" si="64"/>
        <v>3.5057763041898755E-3</v>
      </c>
      <c r="AG96">
        <f t="shared" si="65"/>
        <v>0</v>
      </c>
      <c r="AH96">
        <f t="shared" si="66"/>
        <v>0</v>
      </c>
    </row>
    <row r="97" spans="9:25" ht="15" x14ac:dyDescent="0.2">
      <c r="K97" s="1"/>
      <c r="L97"/>
      <c r="M97" s="1"/>
      <c r="N97"/>
      <c r="O97" s="1"/>
      <c r="P97"/>
      <c r="Q97" s="1"/>
      <c r="R97"/>
      <c r="T97" s="1"/>
      <c r="U97"/>
      <c r="V97" s="1"/>
      <c r="W97"/>
      <c r="X97" s="1"/>
      <c r="Y97"/>
    </row>
    <row r="100" spans="9:25" x14ac:dyDescent="0.45">
      <c r="I100" t="s">
        <v>210</v>
      </c>
    </row>
    <row r="101" spans="9:25" x14ac:dyDescent="0.45">
      <c r="I101" t="s">
        <v>10</v>
      </c>
      <c r="J101" t="s">
        <v>1</v>
      </c>
      <c r="K101" t="s">
        <v>2</v>
      </c>
      <c r="L101" t="s">
        <v>3</v>
      </c>
      <c r="M101" t="s">
        <v>4</v>
      </c>
      <c r="N101" t="s">
        <v>8</v>
      </c>
    </row>
    <row r="102" spans="9:25" x14ac:dyDescent="0.45">
      <c r="I102">
        <v>0</v>
      </c>
      <c r="J102">
        <f>J70*0.1</f>
        <v>0.1</v>
      </c>
      <c r="K102">
        <f t="shared" ref="K102:N102" si="67">K70*0.1</f>
        <v>0</v>
      </c>
      <c r="L102">
        <f t="shared" si="67"/>
        <v>0</v>
      </c>
      <c r="M102">
        <f t="shared" si="67"/>
        <v>0</v>
      </c>
      <c r="N102">
        <f t="shared" si="67"/>
        <v>0.1</v>
      </c>
    </row>
    <row r="103" spans="9:25" x14ac:dyDescent="0.45">
      <c r="I103">
        <v>0.05</v>
      </c>
      <c r="J103">
        <f t="shared" ref="J103:N103" si="68">J71*0.1</f>
        <v>9.569035584393186E-2</v>
      </c>
      <c r="K103">
        <f t="shared" si="68"/>
        <v>2.0374294484802693E-3</v>
      </c>
      <c r="L103">
        <f t="shared" si="68"/>
        <v>1.5448886836050713E-4</v>
      </c>
      <c r="M103">
        <f t="shared" si="68"/>
        <v>2.5320036412860969E-5</v>
      </c>
      <c r="N103">
        <f t="shared" si="68"/>
        <v>9.7782761646746361E-2</v>
      </c>
    </row>
    <row r="104" spans="9:25" x14ac:dyDescent="0.45">
      <c r="I104">
        <v>0.56666666666666665</v>
      </c>
      <c r="J104">
        <f t="shared" ref="J104:N104" si="69">J72*0.1</f>
        <v>7.2774589064537973E-2</v>
      </c>
      <c r="K104">
        <f t="shared" si="69"/>
        <v>1.9085762151781756E-2</v>
      </c>
      <c r="L104">
        <f t="shared" si="69"/>
        <v>3.9105869984921637E-3</v>
      </c>
      <c r="M104">
        <f t="shared" si="69"/>
        <v>1.4882967359873886E-4</v>
      </c>
      <c r="N104">
        <f t="shared" si="69"/>
        <v>7.6854821176127353E-2</v>
      </c>
    </row>
    <row r="105" spans="9:25" x14ac:dyDescent="0.45">
      <c r="I105">
        <v>1.1833333333333333</v>
      </c>
      <c r="J105">
        <f t="shared" ref="J105:N105" si="70">J73*0.1</f>
        <v>6.3082016006062849E-2</v>
      </c>
      <c r="K105">
        <f t="shared" si="70"/>
        <v>2.2978233196708261E-2</v>
      </c>
      <c r="L105">
        <f t="shared" si="70"/>
        <v>9.2666133562295337E-3</v>
      </c>
      <c r="M105">
        <f t="shared" si="70"/>
        <v>5.3292704380829479E-5</v>
      </c>
      <c r="N105">
        <f t="shared" si="70"/>
        <v>6.7695119857522218E-2</v>
      </c>
    </row>
    <row r="106" spans="9:25" x14ac:dyDescent="0.45">
      <c r="I106">
        <v>1.7833333333333332</v>
      </c>
      <c r="J106">
        <f t="shared" ref="J106:N106" si="71">J74*0.1</f>
        <v>6.0070606322013109E-2</v>
      </c>
      <c r="K106">
        <f t="shared" si="71"/>
        <v>2.1271952286578216E-2</v>
      </c>
      <c r="L106">
        <f t="shared" si="71"/>
        <v>1.3658911621546366E-2</v>
      </c>
      <c r="M106">
        <f t="shared" si="71"/>
        <v>2.0125184148564254E-5</v>
      </c>
      <c r="N106">
        <f t="shared" si="71"/>
        <v>6.5027409334312197E-2</v>
      </c>
    </row>
    <row r="107" spans="9:25" x14ac:dyDescent="0.45">
      <c r="I107">
        <v>2.3833333333333333</v>
      </c>
      <c r="J107">
        <f t="shared" ref="J107:N107" si="72">J75*0.1</f>
        <v>5.9919031741046264E-2</v>
      </c>
      <c r="K107">
        <f t="shared" si="72"/>
        <v>1.7856877549788402E-2</v>
      </c>
      <c r="L107">
        <f t="shared" si="72"/>
        <v>1.6897520724314923E-2</v>
      </c>
      <c r="M107">
        <f t="shared" si="72"/>
        <v>0</v>
      </c>
      <c r="N107">
        <f t="shared" si="72"/>
        <v>6.5223037847151374E-2</v>
      </c>
    </row>
    <row r="108" spans="9:25" x14ac:dyDescent="0.45">
      <c r="I108">
        <v>3</v>
      </c>
      <c r="J108">
        <f t="shared" ref="J108:N108" si="73">J76*0.1</f>
        <v>5.9155552646079849E-2</v>
      </c>
      <c r="K108">
        <f t="shared" si="73"/>
        <v>1.4967293554299557E-2</v>
      </c>
      <c r="L108">
        <f t="shared" si="73"/>
        <v>1.9864492955398227E-2</v>
      </c>
      <c r="M108">
        <f t="shared" si="73"/>
        <v>0</v>
      </c>
      <c r="N108">
        <f t="shared" si="73"/>
        <v>6.5135199282499848E-2</v>
      </c>
    </row>
    <row r="109" spans="9:25" x14ac:dyDescent="0.45">
      <c r="I109">
        <v>3.6</v>
      </c>
      <c r="J109">
        <f t="shared" ref="J109:N109" si="74">J77*0.1</f>
        <v>5.9324038905113397E-2</v>
      </c>
      <c r="K109">
        <f t="shared" si="74"/>
        <v>1.1960884446648043E-2</v>
      </c>
      <c r="L109">
        <f t="shared" si="74"/>
        <v>2.2038639811135741E-2</v>
      </c>
      <c r="M109">
        <f t="shared" si="74"/>
        <v>0</v>
      </c>
      <c r="N109">
        <f t="shared" si="74"/>
        <v>6.5957479130748356E-2</v>
      </c>
    </row>
    <row r="110" spans="9:25" x14ac:dyDescent="0.45">
      <c r="I110">
        <v>4.2</v>
      </c>
      <c r="J110">
        <f t="shared" ref="J110:N110" si="75">J78*0.1</f>
        <v>5.8937030544158789E-2</v>
      </c>
      <c r="K110">
        <f t="shared" si="75"/>
        <v>1.0348892815240025E-2</v>
      </c>
      <c r="L110">
        <f t="shared" si="75"/>
        <v>2.3506430140162789E-2</v>
      </c>
      <c r="M110">
        <f t="shared" si="75"/>
        <v>0</v>
      </c>
      <c r="N110">
        <f t="shared" si="75"/>
        <v>6.6071390331193122E-2</v>
      </c>
    </row>
    <row r="111" spans="9:25" x14ac:dyDescent="0.45">
      <c r="I111">
        <v>4.8166666666666664</v>
      </c>
      <c r="J111">
        <f t="shared" ref="J111:N111" si="76">J79*0.1</f>
        <v>5.8621153828671606E-2</v>
      </c>
      <c r="K111">
        <f t="shared" si="76"/>
        <v>8.5485755008291205E-3</v>
      </c>
      <c r="L111">
        <f t="shared" si="76"/>
        <v>2.5738698174873786E-2</v>
      </c>
      <c r="M111">
        <f t="shared" si="76"/>
        <v>0</v>
      </c>
      <c r="N111">
        <f t="shared" si="76"/>
        <v>6.5618824390403965E-2</v>
      </c>
    </row>
    <row r="112" spans="9:25" x14ac:dyDescent="0.45">
      <c r="I112">
        <v>5.416666666666667</v>
      </c>
      <c r="J112">
        <f t="shared" ref="J112:N112" si="77">J80*0.1</f>
        <v>5.8185598680865702E-2</v>
      </c>
      <c r="K112">
        <f t="shared" si="77"/>
        <v>7.4061359956500861E-3</v>
      </c>
      <c r="L112">
        <f t="shared" si="77"/>
        <v>2.6743109204154011E-2</v>
      </c>
      <c r="M112">
        <f t="shared" si="77"/>
        <v>0</v>
      </c>
      <c r="N112">
        <f t="shared" si="77"/>
        <v>6.5735388285455734E-2</v>
      </c>
    </row>
    <row r="113" spans="9:14" x14ac:dyDescent="0.45">
      <c r="I113">
        <v>6.0166666666666666</v>
      </c>
      <c r="J113">
        <f t="shared" ref="J113:N113" si="78">J81*0.1</f>
        <v>5.7700903671015949E-2</v>
      </c>
      <c r="K113">
        <f t="shared" si="78"/>
        <v>6.2358022047276848E-3</v>
      </c>
      <c r="L113">
        <f t="shared" si="78"/>
        <v>2.8011284226284051E-2</v>
      </c>
      <c r="M113">
        <f t="shared" si="78"/>
        <v>0</v>
      </c>
      <c r="N113">
        <f t="shared" si="78"/>
        <v>6.563652636108977E-2</v>
      </c>
    </row>
    <row r="114" spans="9:14" x14ac:dyDescent="0.45">
      <c r="I114">
        <v>6.6333333333333337</v>
      </c>
      <c r="J114">
        <f t="shared" ref="J114:N114" si="79">J82*0.1</f>
        <v>5.7052575259513565E-2</v>
      </c>
      <c r="K114">
        <f t="shared" si="79"/>
        <v>5.274274173201734E-3</v>
      </c>
      <c r="L114">
        <f t="shared" si="79"/>
        <v>2.9088890087207282E-2</v>
      </c>
      <c r="M114">
        <f t="shared" si="79"/>
        <v>0</v>
      </c>
      <c r="N114">
        <f t="shared" si="79"/>
        <v>6.5466763426689487E-2</v>
      </c>
    </row>
    <row r="115" spans="9:14" x14ac:dyDescent="0.45">
      <c r="I115">
        <v>7.2333333333333334</v>
      </c>
      <c r="J115">
        <f t="shared" ref="J115:N115" si="80">J83*0.1</f>
        <v>5.8051592442363423E-2</v>
      </c>
      <c r="K115">
        <f t="shared" si="80"/>
        <v>4.2533734984706714E-3</v>
      </c>
      <c r="L115">
        <f t="shared" si="80"/>
        <v>2.8634624798913811E-2</v>
      </c>
      <c r="M115">
        <f t="shared" si="80"/>
        <v>0</v>
      </c>
      <c r="N115">
        <f t="shared" si="80"/>
        <v>6.6930407303561923E-2</v>
      </c>
    </row>
    <row r="116" spans="9:14" x14ac:dyDescent="0.45">
      <c r="I116">
        <v>7.833333333333333</v>
      </c>
      <c r="J116">
        <f t="shared" ref="J116:N116" si="81">J84*0.1</f>
        <v>5.7499992089045396E-2</v>
      </c>
      <c r="K116">
        <f t="shared" si="81"/>
        <v>3.6163632523589792E-3</v>
      </c>
      <c r="L116">
        <f t="shared" si="81"/>
        <v>2.9171171722961631E-2</v>
      </c>
      <c r="M116">
        <f t="shared" si="81"/>
        <v>0</v>
      </c>
      <c r="N116">
        <f t="shared" si="81"/>
        <v>6.7002170193091612E-2</v>
      </c>
    </row>
    <row r="117" spans="9:14" x14ac:dyDescent="0.45">
      <c r="I117">
        <v>8.8833333333333329</v>
      </c>
      <c r="J117">
        <f t="shared" ref="J117:N117" si="82">J85*0.1</f>
        <v>5.7881966822725339E-2</v>
      </c>
      <c r="K117">
        <f t="shared" si="82"/>
        <v>2.7211649286460753E-3</v>
      </c>
      <c r="L117">
        <f t="shared" si="82"/>
        <v>2.9159336009727851E-2</v>
      </c>
      <c r="M117">
        <f t="shared" si="82"/>
        <v>0</v>
      </c>
      <c r="N117">
        <f t="shared" si="82"/>
        <v>6.7862898354955417E-2</v>
      </c>
    </row>
    <row r="118" spans="9:14" x14ac:dyDescent="0.45">
      <c r="I118">
        <v>9.9333333333333336</v>
      </c>
      <c r="J118">
        <f t="shared" ref="J118:N118" si="83">J86*0.1</f>
        <v>5.7826193351902123E-2</v>
      </c>
      <c r="K118">
        <f t="shared" si="83"/>
        <v>2.1577499683164097E-3</v>
      </c>
      <c r="L118">
        <f t="shared" si="83"/>
        <v>2.9299857880640968E-2</v>
      </c>
      <c r="M118">
        <f t="shared" si="83"/>
        <v>0</v>
      </c>
      <c r="N118">
        <f t="shared" si="83"/>
        <v>6.8206290409689244E-2</v>
      </c>
    </row>
    <row r="119" spans="9:14" x14ac:dyDescent="0.45">
      <c r="I119">
        <v>10.966666666666667</v>
      </c>
      <c r="J119">
        <f t="shared" ref="J119:N119" si="84">J87*0.1</f>
        <v>5.7724799686654255E-2</v>
      </c>
      <c r="K119">
        <f t="shared" si="84"/>
        <v>1.6603444212168806E-3</v>
      </c>
      <c r="L119">
        <f t="shared" si="84"/>
        <v>2.926376463953162E-2</v>
      </c>
      <c r="M119">
        <f t="shared" si="84"/>
        <v>0</v>
      </c>
      <c r="N119">
        <f t="shared" si="84"/>
        <v>6.8674337354621626E-2</v>
      </c>
    </row>
    <row r="120" spans="9:14" x14ac:dyDescent="0.45">
      <c r="I120">
        <v>12.016666666666667</v>
      </c>
      <c r="J120">
        <f t="shared" ref="J120:N120" si="85">J88*0.1</f>
        <v>5.6377352193789934E-2</v>
      </c>
      <c r="K120">
        <f t="shared" si="85"/>
        <v>1.3404074195421853E-3</v>
      </c>
      <c r="L120">
        <f t="shared" si="85"/>
        <v>3.0210709863399118E-2</v>
      </c>
      <c r="M120">
        <f t="shared" si="85"/>
        <v>0</v>
      </c>
      <c r="N120">
        <f t="shared" si="85"/>
        <v>6.7949450688789201E-2</v>
      </c>
    </row>
    <row r="121" spans="9:14" x14ac:dyDescent="0.45">
      <c r="I121">
        <v>13.05</v>
      </c>
      <c r="J121">
        <f t="shared" ref="J121:N121" si="86">J89*0.1</f>
        <v>5.7525134977283211E-2</v>
      </c>
      <c r="K121">
        <f t="shared" si="86"/>
        <v>1.0760653860011635E-3</v>
      </c>
      <c r="L121">
        <f t="shared" si="86"/>
        <v>2.8650049122602623E-2</v>
      </c>
      <c r="M121">
        <f t="shared" si="86"/>
        <v>0</v>
      </c>
      <c r="N121">
        <f t="shared" si="86"/>
        <v>6.9692562676414688E-2</v>
      </c>
    </row>
    <row r="122" spans="9:14" x14ac:dyDescent="0.45">
      <c r="I122">
        <v>14.233333333333333</v>
      </c>
      <c r="J122">
        <f t="shared" ref="J122:N122" si="87">J90*0.1</f>
        <v>5.7294392425928591E-2</v>
      </c>
      <c r="K122">
        <f t="shared" si="87"/>
        <v>8.0574563102309171E-4</v>
      </c>
      <c r="L122">
        <f t="shared" si="87"/>
        <v>2.8128781301508456E-2</v>
      </c>
      <c r="M122">
        <f t="shared" si="87"/>
        <v>0</v>
      </c>
      <c r="N122">
        <f t="shared" si="87"/>
        <v>7.0414364521509218E-2</v>
      </c>
    </row>
    <row r="123" spans="9:14" x14ac:dyDescent="0.45">
      <c r="I123">
        <v>23.533333333333335</v>
      </c>
      <c r="J123">
        <f t="shared" ref="J123:N123" si="88">J91*0.1</f>
        <v>5.6826286513490289E-2</v>
      </c>
      <c r="K123">
        <f t="shared" si="88"/>
        <v>1.6918729459140341E-4</v>
      </c>
      <c r="L123">
        <f t="shared" si="88"/>
        <v>2.4328376421896628E-2</v>
      </c>
      <c r="M123">
        <f t="shared" si="88"/>
        <v>0</v>
      </c>
      <c r="N123">
        <f t="shared" si="88"/>
        <v>7.4001113340813149E-2</v>
      </c>
    </row>
    <row r="124" spans="9:14" x14ac:dyDescent="0.45">
      <c r="I124">
        <v>27.383333333333333</v>
      </c>
      <c r="J124">
        <f t="shared" ref="J124:N124" si="89">J92*0.1</f>
        <v>5.5708841568373947E-2</v>
      </c>
      <c r="K124">
        <f t="shared" si="89"/>
        <v>4.7891442084957247E-4</v>
      </c>
      <c r="L124">
        <f t="shared" si="89"/>
        <v>2.2612314203978183E-2</v>
      </c>
      <c r="M124">
        <f t="shared" si="89"/>
        <v>0</v>
      </c>
      <c r="N124">
        <f t="shared" si="89"/>
        <v>7.4877683237298306E-2</v>
      </c>
    </row>
    <row r="125" spans="9:14" x14ac:dyDescent="0.45">
      <c r="I125">
        <v>37.233333333333334</v>
      </c>
      <c r="J125">
        <f t="shared" ref="J125:N125" si="90">J93*0.1</f>
        <v>5.5436525283286145E-2</v>
      </c>
      <c r="K125">
        <f t="shared" si="90"/>
        <v>9.8525629497267243E-6</v>
      </c>
      <c r="L125">
        <f t="shared" si="90"/>
        <v>1.769209702655827E-2</v>
      </c>
      <c r="M125">
        <f t="shared" si="90"/>
        <v>0</v>
      </c>
      <c r="N125">
        <f t="shared" si="90"/>
        <v>7.9176504232952832E-2</v>
      </c>
    </row>
    <row r="126" spans="9:14" x14ac:dyDescent="0.45">
      <c r="I126">
        <v>45.983333333333334</v>
      </c>
      <c r="J126">
        <f t="shared" ref="J126:N126" si="91">J94*0.1</f>
        <v>5.5293185320104368E-2</v>
      </c>
      <c r="K126">
        <f t="shared" si="91"/>
        <v>0</v>
      </c>
      <c r="L126">
        <f t="shared" si="91"/>
        <v>1.460743678843042E-2</v>
      </c>
      <c r="M126">
        <f t="shared" si="91"/>
        <v>0</v>
      </c>
      <c r="N126">
        <f t="shared" si="91"/>
        <v>8.1306158821188024E-2</v>
      </c>
    </row>
    <row r="127" spans="9:14" x14ac:dyDescent="0.45">
      <c r="I127">
        <v>61.6</v>
      </c>
      <c r="J127">
        <f t="shared" ref="J127:N127" si="92">J95*0.1</f>
        <v>5.4167321898193857E-2</v>
      </c>
      <c r="K127">
        <f t="shared" si="92"/>
        <v>0</v>
      </c>
      <c r="L127">
        <f t="shared" si="92"/>
        <v>9.9107917156744316E-3</v>
      </c>
      <c r="M127">
        <f t="shared" si="92"/>
        <v>0</v>
      </c>
      <c r="N127">
        <f t="shared" si="92"/>
        <v>8.4539906660578035E-2</v>
      </c>
    </row>
    <row r="128" spans="9:14" x14ac:dyDescent="0.45">
      <c r="I128">
        <v>70.400000000000006</v>
      </c>
      <c r="J128">
        <f t="shared" ref="J128:N128" si="93">J96*0.1</f>
        <v>5.3141234028191743E-2</v>
      </c>
      <c r="K128">
        <f t="shared" si="93"/>
        <v>0</v>
      </c>
      <c r="L128">
        <f t="shared" si="93"/>
        <v>7.7979856676893104E-3</v>
      </c>
      <c r="M128">
        <f t="shared" si="93"/>
        <v>0</v>
      </c>
      <c r="N128">
        <f t="shared" si="93"/>
        <v>8.6106340508611892E-2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workbookViewId="0">
      <selection activeCell="A4" sqref="A4"/>
    </sheetView>
  </sheetViews>
  <sheetFormatPr defaultColWidth="10.6640625" defaultRowHeight="14.25" x14ac:dyDescent="0.45"/>
  <sheetData>
    <row r="2" spans="1:6" x14ac:dyDescent="0.2">
      <c r="B2">
        <v>409.5471</v>
      </c>
      <c r="C2">
        <v>3</v>
      </c>
      <c r="D2" t="s">
        <v>5</v>
      </c>
    </row>
    <row r="3" spans="1:6" x14ac:dyDescent="0.2">
      <c r="A3" t="s">
        <v>6</v>
      </c>
      <c r="B3">
        <v>399.87869999999998</v>
      </c>
      <c r="C3">
        <v>3</v>
      </c>
      <c r="E3">
        <v>1196.6121000000001</v>
      </c>
      <c r="F3">
        <f>E3-97.9769</f>
        <v>1098.6352000000002</v>
      </c>
    </row>
    <row r="4" spans="1:6" x14ac:dyDescent="0.2">
      <c r="A4" t="s">
        <v>6</v>
      </c>
      <c r="B4">
        <v>403.87090000000001</v>
      </c>
      <c r="C4">
        <v>3</v>
      </c>
    </row>
    <row r="5" spans="1:6" x14ac:dyDescent="0.2">
      <c r="B5">
        <v>628.28800000000001</v>
      </c>
      <c r="C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G38" sqref="G38"/>
    </sheetView>
  </sheetViews>
  <sheetFormatPr defaultColWidth="10.6640625" defaultRowHeight="14.25" x14ac:dyDescent="0.45"/>
  <sheetData>
    <row r="1" spans="1:9" x14ac:dyDescent="0.2">
      <c r="A1" t="s">
        <v>127</v>
      </c>
      <c r="B1" t="s">
        <v>132</v>
      </c>
      <c r="C1" t="s">
        <v>133</v>
      </c>
      <c r="D1" t="s">
        <v>134</v>
      </c>
      <c r="E1" t="s">
        <v>135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">
      <c r="A2">
        <v>0</v>
      </c>
      <c r="B2">
        <v>1</v>
      </c>
      <c r="C2">
        <v>0</v>
      </c>
      <c r="D2">
        <v>0</v>
      </c>
      <c r="E2">
        <v>0</v>
      </c>
      <c r="F2">
        <f>B2*0.0001</f>
        <v>1E-4</v>
      </c>
      <c r="G2">
        <f t="shared" ref="G2:I2" si="0">C2*0.0001</f>
        <v>0</v>
      </c>
      <c r="H2">
        <f t="shared" si="0"/>
        <v>0</v>
      </c>
      <c r="I2">
        <f t="shared" si="0"/>
        <v>0</v>
      </c>
    </row>
    <row r="3" spans="1:9" x14ac:dyDescent="0.2">
      <c r="A3">
        <v>0.05</v>
      </c>
      <c r="B3">
        <v>0.97782761646746352</v>
      </c>
      <c r="C3">
        <v>2.0374294484802692E-2</v>
      </c>
      <c r="D3">
        <v>1.5448886836050711E-3</v>
      </c>
      <c r="E3">
        <v>2.5320036412860967E-4</v>
      </c>
      <c r="F3">
        <f t="shared" ref="F3:F28" si="1">B3*0.0001</f>
        <v>9.7782761646746357E-5</v>
      </c>
      <c r="G3">
        <f t="shared" ref="G3:G28" si="2">C3*0.0001</f>
        <v>2.0374294484802692E-6</v>
      </c>
      <c r="H3">
        <f t="shared" ref="H3:H28" si="3">D3*0.0001</f>
        <v>1.5448886836050712E-7</v>
      </c>
      <c r="I3">
        <f t="shared" ref="I3:I28" si="4">E3*0.0001</f>
        <v>2.5320036412860967E-8</v>
      </c>
    </row>
    <row r="4" spans="1:9" x14ac:dyDescent="0.2">
      <c r="A4">
        <v>0.56666666666666665</v>
      </c>
      <c r="B4">
        <v>0.76854821176127341</v>
      </c>
      <c r="C4">
        <v>0.19085762151781754</v>
      </c>
      <c r="D4">
        <v>3.9105869984921632E-2</v>
      </c>
      <c r="E4">
        <v>1.4882967359873885E-3</v>
      </c>
      <c r="F4">
        <f t="shared" si="1"/>
        <v>7.6854821176127348E-5</v>
      </c>
      <c r="G4">
        <f t="shared" si="2"/>
        <v>1.9085762151781754E-5</v>
      </c>
      <c r="H4">
        <f t="shared" si="3"/>
        <v>3.9105869984921633E-6</v>
      </c>
      <c r="I4">
        <f t="shared" si="4"/>
        <v>1.4882967359873887E-7</v>
      </c>
    </row>
    <row r="5" spans="1:9" x14ac:dyDescent="0.2">
      <c r="A5">
        <v>1.1833333333333333</v>
      </c>
      <c r="B5">
        <v>0.67695119857522212</v>
      </c>
      <c r="C5">
        <v>0.22978233196708259</v>
      </c>
      <c r="D5">
        <v>9.2666133562295333E-2</v>
      </c>
      <c r="E5">
        <v>5.3292704380829476E-4</v>
      </c>
      <c r="F5">
        <f t="shared" si="1"/>
        <v>6.7695119857522217E-5</v>
      </c>
      <c r="G5">
        <f t="shared" si="2"/>
        <v>2.297823319670826E-5</v>
      </c>
      <c r="H5">
        <f t="shared" si="3"/>
        <v>9.2666133562295342E-6</v>
      </c>
      <c r="I5">
        <f t="shared" si="4"/>
        <v>5.3292704380829478E-8</v>
      </c>
    </row>
    <row r="6" spans="1:9" x14ac:dyDescent="0.2">
      <c r="A6">
        <v>1.7833333333333332</v>
      </c>
      <c r="B6">
        <v>0.65027409334312192</v>
      </c>
      <c r="C6">
        <v>0.21271952286578213</v>
      </c>
      <c r="D6">
        <v>0.13658911621546366</v>
      </c>
      <c r="E6">
        <v>2.0125184148564253E-4</v>
      </c>
      <c r="F6">
        <f t="shared" si="1"/>
        <v>6.50274093343122E-5</v>
      </c>
      <c r="G6">
        <f t="shared" si="2"/>
        <v>2.1271952286578213E-5</v>
      </c>
      <c r="H6">
        <f t="shared" si="3"/>
        <v>1.3658911621546367E-5</v>
      </c>
      <c r="I6">
        <f t="shared" si="4"/>
        <v>2.0125184148564254E-8</v>
      </c>
    </row>
    <row r="7" spans="1:9" x14ac:dyDescent="0.2">
      <c r="A7">
        <v>2.3833333333333333</v>
      </c>
      <c r="B7">
        <v>0.65223037847151377</v>
      </c>
      <c r="C7">
        <v>0.17856877549788402</v>
      </c>
      <c r="D7">
        <v>0.16897520724314921</v>
      </c>
      <c r="E7">
        <v>0</v>
      </c>
      <c r="F7">
        <f t="shared" si="1"/>
        <v>6.5223037847151379E-5</v>
      </c>
      <c r="G7">
        <f t="shared" si="2"/>
        <v>1.7856877549788404E-5</v>
      </c>
      <c r="H7">
        <f t="shared" si="3"/>
        <v>1.6897520724314922E-5</v>
      </c>
      <c r="I7">
        <f t="shared" si="4"/>
        <v>0</v>
      </c>
    </row>
    <row r="8" spans="1:9" x14ac:dyDescent="0.2">
      <c r="A8">
        <v>3</v>
      </c>
      <c r="B8">
        <v>0.65135199282499845</v>
      </c>
      <c r="C8">
        <v>0.14967293554299557</v>
      </c>
      <c r="D8">
        <v>0.19864492955398225</v>
      </c>
      <c r="E8">
        <v>0</v>
      </c>
      <c r="F8">
        <f t="shared" si="1"/>
        <v>6.513519928249985E-5</v>
      </c>
      <c r="G8">
        <f t="shared" si="2"/>
        <v>1.4967293554299557E-5</v>
      </c>
      <c r="H8">
        <f t="shared" si="3"/>
        <v>1.9864492955398227E-5</v>
      </c>
      <c r="I8">
        <f t="shared" si="4"/>
        <v>0</v>
      </c>
    </row>
    <row r="9" spans="1:9" x14ac:dyDescent="0.2">
      <c r="A9">
        <v>3.6</v>
      </c>
      <c r="B9">
        <v>0.65957479130748353</v>
      </c>
      <c r="C9">
        <v>0.11960884446648042</v>
      </c>
      <c r="D9">
        <v>0.22038639811135738</v>
      </c>
      <c r="E9">
        <v>0</v>
      </c>
      <c r="F9">
        <f t="shared" si="1"/>
        <v>6.5957479130748361E-5</v>
      </c>
      <c r="G9">
        <f t="shared" si="2"/>
        <v>1.1960884446648043E-5</v>
      </c>
      <c r="H9">
        <f t="shared" si="3"/>
        <v>2.2038639811135738E-5</v>
      </c>
      <c r="I9">
        <f t="shared" si="4"/>
        <v>0</v>
      </c>
    </row>
    <row r="10" spans="1:9" x14ac:dyDescent="0.2">
      <c r="A10">
        <v>4.2</v>
      </c>
      <c r="B10">
        <v>0.66071390331193125</v>
      </c>
      <c r="C10">
        <v>0.10348892815240024</v>
      </c>
      <c r="D10">
        <v>0.23506430140162787</v>
      </c>
      <c r="E10">
        <v>0</v>
      </c>
      <c r="F10">
        <f t="shared" si="1"/>
        <v>6.6071390331193133E-5</v>
      </c>
      <c r="G10">
        <f t="shared" si="2"/>
        <v>1.0348892815240025E-5</v>
      </c>
      <c r="H10">
        <f t="shared" si="3"/>
        <v>2.3506430140162788E-5</v>
      </c>
      <c r="I10">
        <f t="shared" si="4"/>
        <v>0</v>
      </c>
    </row>
    <row r="11" spans="1:9" x14ac:dyDescent="0.2">
      <c r="A11">
        <v>4.8166666666666664</v>
      </c>
      <c r="B11">
        <v>0.65618824390403963</v>
      </c>
      <c r="C11">
        <v>8.5485755008291198E-2</v>
      </c>
      <c r="D11">
        <v>0.25738698174873786</v>
      </c>
      <c r="E11">
        <v>0</v>
      </c>
      <c r="F11">
        <f t="shared" si="1"/>
        <v>6.5618824390403972E-5</v>
      </c>
      <c r="G11">
        <f t="shared" si="2"/>
        <v>8.548575500829121E-6</v>
      </c>
      <c r="H11">
        <f t="shared" si="3"/>
        <v>2.5738698174873787E-5</v>
      </c>
      <c r="I11">
        <f t="shared" si="4"/>
        <v>0</v>
      </c>
    </row>
    <row r="12" spans="1:9" x14ac:dyDescent="0.2">
      <c r="A12">
        <v>5.416666666666667</v>
      </c>
      <c r="B12">
        <v>0.65735388285455731</v>
      </c>
      <c r="C12">
        <v>7.4061359956500858E-2</v>
      </c>
      <c r="D12">
        <v>0.26743109204154009</v>
      </c>
      <c r="E12">
        <v>0</v>
      </c>
      <c r="F12">
        <f t="shared" si="1"/>
        <v>6.5735388285455729E-5</v>
      </c>
      <c r="G12">
        <f t="shared" si="2"/>
        <v>7.4061359956500863E-6</v>
      </c>
      <c r="H12">
        <f t="shared" si="3"/>
        <v>2.6743109204154012E-5</v>
      </c>
      <c r="I12">
        <f t="shared" si="4"/>
        <v>0</v>
      </c>
    </row>
    <row r="13" spans="1:9" x14ac:dyDescent="0.2">
      <c r="A13">
        <v>6.0166666666666666</v>
      </c>
      <c r="B13">
        <v>0.65636526361089764</v>
      </c>
      <c r="C13">
        <v>6.2358022047276841E-2</v>
      </c>
      <c r="D13">
        <v>0.2801128422628405</v>
      </c>
      <c r="E13">
        <v>0</v>
      </c>
      <c r="F13">
        <f t="shared" si="1"/>
        <v>6.5636526361089771E-5</v>
      </c>
      <c r="G13">
        <f t="shared" si="2"/>
        <v>6.2358022047276848E-6</v>
      </c>
      <c r="H13">
        <f t="shared" si="3"/>
        <v>2.8011284226284052E-5</v>
      </c>
      <c r="I13">
        <f t="shared" si="4"/>
        <v>0</v>
      </c>
    </row>
    <row r="14" spans="1:9" x14ac:dyDescent="0.2">
      <c r="A14">
        <v>6.6333333333333337</v>
      </c>
      <c r="B14">
        <v>0.65466763426689478</v>
      </c>
      <c r="C14">
        <v>5.2742741732017338E-2</v>
      </c>
      <c r="D14">
        <v>0.29088890087207281</v>
      </c>
      <c r="E14">
        <v>0</v>
      </c>
      <c r="F14">
        <f t="shared" si="1"/>
        <v>6.5466763426689486E-5</v>
      </c>
      <c r="G14">
        <f t="shared" si="2"/>
        <v>5.2742741732017343E-6</v>
      </c>
      <c r="H14">
        <f t="shared" si="3"/>
        <v>2.9088890087207281E-5</v>
      </c>
      <c r="I14">
        <f t="shared" si="4"/>
        <v>0</v>
      </c>
    </row>
    <row r="15" spans="1:9" x14ac:dyDescent="0.2">
      <c r="A15">
        <v>7.2333333333333334</v>
      </c>
      <c r="B15">
        <v>0.66930407303561923</v>
      </c>
      <c r="C15">
        <v>4.2533734984706709E-2</v>
      </c>
      <c r="D15">
        <v>0.2863462479891381</v>
      </c>
      <c r="E15">
        <v>0</v>
      </c>
      <c r="F15">
        <f t="shared" si="1"/>
        <v>6.6930407303561929E-5</v>
      </c>
      <c r="G15">
        <f t="shared" si="2"/>
        <v>4.2533734984706708E-6</v>
      </c>
      <c r="H15">
        <f t="shared" si="3"/>
        <v>2.8634624798913813E-5</v>
      </c>
      <c r="I15">
        <f t="shared" si="4"/>
        <v>0</v>
      </c>
    </row>
    <row r="16" spans="1:9" x14ac:dyDescent="0.2">
      <c r="A16">
        <v>7.833333333333333</v>
      </c>
      <c r="B16">
        <v>0.67002170193091604</v>
      </c>
      <c r="C16">
        <v>3.6163632523589791E-2</v>
      </c>
      <c r="D16">
        <v>0.29171171722961631</v>
      </c>
      <c r="E16">
        <v>0</v>
      </c>
      <c r="F16">
        <f t="shared" si="1"/>
        <v>6.7002170193091601E-5</v>
      </c>
      <c r="G16">
        <f t="shared" si="2"/>
        <v>3.6163632523589792E-6</v>
      </c>
      <c r="H16">
        <f t="shared" si="3"/>
        <v>2.9171171722961631E-5</v>
      </c>
      <c r="I16">
        <f t="shared" si="4"/>
        <v>0</v>
      </c>
    </row>
    <row r="17" spans="1:9" x14ac:dyDescent="0.2">
      <c r="A17">
        <v>8.8833333333333329</v>
      </c>
      <c r="B17">
        <v>0.67862898354955414</v>
      </c>
      <c r="C17">
        <v>2.7211649286460752E-2</v>
      </c>
      <c r="D17">
        <v>0.29159336009727849</v>
      </c>
      <c r="E17">
        <v>0</v>
      </c>
      <c r="F17">
        <f t="shared" si="1"/>
        <v>6.7862898354955416E-5</v>
      </c>
      <c r="G17">
        <f t="shared" si="2"/>
        <v>2.7211649286460754E-6</v>
      </c>
      <c r="H17">
        <f t="shared" si="3"/>
        <v>2.915933600972785E-5</v>
      </c>
      <c r="I17">
        <f t="shared" si="4"/>
        <v>0</v>
      </c>
    </row>
    <row r="18" spans="1:9" x14ac:dyDescent="0.2">
      <c r="A18">
        <v>9.9333333333333336</v>
      </c>
      <c r="B18">
        <v>0.68206290409689241</v>
      </c>
      <c r="C18">
        <v>2.1577499683164098E-2</v>
      </c>
      <c r="D18">
        <v>0.29299857880640967</v>
      </c>
      <c r="E18">
        <v>0</v>
      </c>
      <c r="F18">
        <f t="shared" si="1"/>
        <v>6.8206290409689247E-5</v>
      </c>
      <c r="G18">
        <f t="shared" si="2"/>
        <v>2.1577499683164101E-6</v>
      </c>
      <c r="H18">
        <f t="shared" si="3"/>
        <v>2.9299857880640968E-5</v>
      </c>
      <c r="I18">
        <f t="shared" si="4"/>
        <v>0</v>
      </c>
    </row>
    <row r="19" spans="1:9" x14ac:dyDescent="0.2">
      <c r="A19">
        <v>10.966666666666667</v>
      </c>
      <c r="B19">
        <v>0.68674337354621628</v>
      </c>
      <c r="C19">
        <v>1.6603444212168805E-2</v>
      </c>
      <c r="D19">
        <v>0.2926376463953162</v>
      </c>
      <c r="E19">
        <v>0</v>
      </c>
      <c r="F19">
        <f t="shared" si="1"/>
        <v>6.8674337354621628E-5</v>
      </c>
      <c r="G19">
        <f t="shared" si="2"/>
        <v>1.6603444212168806E-6</v>
      </c>
      <c r="H19">
        <f t="shared" si="3"/>
        <v>2.9263764639531621E-5</v>
      </c>
      <c r="I19">
        <f t="shared" si="4"/>
        <v>0</v>
      </c>
    </row>
    <row r="20" spans="1:9" x14ac:dyDescent="0.2">
      <c r="A20">
        <v>12.016666666666667</v>
      </c>
      <c r="B20">
        <v>0.67949450688789204</v>
      </c>
      <c r="C20">
        <v>1.3404074195421853E-2</v>
      </c>
      <c r="D20">
        <v>0.30210709863399116</v>
      </c>
      <c r="E20">
        <v>0</v>
      </c>
      <c r="F20">
        <f t="shared" si="1"/>
        <v>6.7949450688789209E-5</v>
      </c>
      <c r="G20">
        <f t="shared" si="2"/>
        <v>1.3404074195421854E-6</v>
      </c>
      <c r="H20">
        <f t="shared" si="3"/>
        <v>3.0210709863399118E-5</v>
      </c>
      <c r="I20">
        <f t="shared" si="4"/>
        <v>0</v>
      </c>
    </row>
    <row r="21" spans="1:9" x14ac:dyDescent="0.2">
      <c r="A21">
        <v>13.05</v>
      </c>
      <c r="B21">
        <v>0.69692562676414682</v>
      </c>
      <c r="C21">
        <v>1.0760653860011635E-2</v>
      </c>
      <c r="D21">
        <v>0.28650049122602622</v>
      </c>
      <c r="E21">
        <v>0</v>
      </c>
      <c r="F21">
        <f t="shared" si="1"/>
        <v>6.9692562676414681E-5</v>
      </c>
      <c r="G21">
        <f t="shared" si="2"/>
        <v>1.0760653860011636E-6</v>
      </c>
      <c r="H21">
        <f t="shared" si="3"/>
        <v>2.8650049122602624E-5</v>
      </c>
      <c r="I21">
        <f t="shared" si="4"/>
        <v>0</v>
      </c>
    </row>
    <row r="22" spans="1:9" x14ac:dyDescent="0.2">
      <c r="A22">
        <v>14.233333333333333</v>
      </c>
      <c r="B22">
        <v>0.70414364521509221</v>
      </c>
      <c r="C22">
        <v>8.0574563102309166E-3</v>
      </c>
      <c r="D22">
        <v>0.28128781301508454</v>
      </c>
      <c r="E22">
        <v>0</v>
      </c>
      <c r="F22">
        <f t="shared" si="1"/>
        <v>7.041436452150923E-5</v>
      </c>
      <c r="G22">
        <f t="shared" si="2"/>
        <v>8.0574563102309171E-7</v>
      </c>
      <c r="H22">
        <f t="shared" si="3"/>
        <v>2.8128781301508454E-5</v>
      </c>
      <c r="I22">
        <f t="shared" si="4"/>
        <v>0</v>
      </c>
    </row>
    <row r="23" spans="1:9" x14ac:dyDescent="0.2">
      <c r="A23">
        <v>23.533333333333335</v>
      </c>
      <c r="B23">
        <v>0.74001113340813141</v>
      </c>
      <c r="C23">
        <v>1.691872945914034E-3</v>
      </c>
      <c r="D23">
        <v>0.24328376421896628</v>
      </c>
      <c r="E23">
        <v>0</v>
      </c>
      <c r="F23">
        <f t="shared" si="1"/>
        <v>7.4001113340813147E-5</v>
      </c>
      <c r="G23">
        <f t="shared" si="2"/>
        <v>1.6918729459140341E-7</v>
      </c>
      <c r="H23">
        <f t="shared" si="3"/>
        <v>2.4328376421896628E-5</v>
      </c>
      <c r="I23">
        <f t="shared" si="4"/>
        <v>0</v>
      </c>
    </row>
    <row r="24" spans="1:9" x14ac:dyDescent="0.2">
      <c r="A24">
        <v>27.383333333333333</v>
      </c>
      <c r="B24">
        <v>0.74877683237298298</v>
      </c>
      <c r="C24">
        <v>4.7891442084957245E-3</v>
      </c>
      <c r="D24">
        <v>0.22612314203978182</v>
      </c>
      <c r="E24">
        <v>0</v>
      </c>
      <c r="F24">
        <f t="shared" si="1"/>
        <v>7.4877683237298303E-5</v>
      </c>
      <c r="G24">
        <f t="shared" si="2"/>
        <v>4.7891442084957244E-7</v>
      </c>
      <c r="H24">
        <f t="shared" si="3"/>
        <v>2.2612314203978184E-5</v>
      </c>
      <c r="I24">
        <f t="shared" si="4"/>
        <v>0</v>
      </c>
    </row>
    <row r="25" spans="1:9" x14ac:dyDescent="0.2">
      <c r="A25">
        <v>37.233333333333334</v>
      </c>
      <c r="B25">
        <v>0.79176504232952827</v>
      </c>
      <c r="C25">
        <v>9.8525629497267229E-5</v>
      </c>
      <c r="D25">
        <v>0.17692097026558271</v>
      </c>
      <c r="E25">
        <v>0</v>
      </c>
      <c r="F25">
        <f t="shared" si="1"/>
        <v>7.9176504232952825E-5</v>
      </c>
      <c r="G25">
        <f t="shared" si="2"/>
        <v>9.8525629497267238E-9</v>
      </c>
      <c r="H25">
        <f t="shared" si="3"/>
        <v>1.7692097026558272E-5</v>
      </c>
      <c r="I25">
        <f t="shared" si="4"/>
        <v>0</v>
      </c>
    </row>
    <row r="26" spans="1:9" x14ac:dyDescent="0.2">
      <c r="A26">
        <v>45.983333333333334</v>
      </c>
      <c r="B26">
        <v>0.81306158821188013</v>
      </c>
      <c r="C26">
        <v>0</v>
      </c>
      <c r="D26">
        <v>0.1460743678843042</v>
      </c>
      <c r="E26">
        <v>0</v>
      </c>
      <c r="F26">
        <f t="shared" si="1"/>
        <v>8.1306158821188023E-5</v>
      </c>
      <c r="G26">
        <f t="shared" si="2"/>
        <v>0</v>
      </c>
      <c r="H26">
        <f t="shared" si="3"/>
        <v>1.4607436788430421E-5</v>
      </c>
      <c r="I26">
        <f t="shared" si="4"/>
        <v>0</v>
      </c>
    </row>
    <row r="27" spans="1:9" x14ac:dyDescent="0.2">
      <c r="A27">
        <v>61.6</v>
      </c>
      <c r="B27">
        <v>0.84539906660578035</v>
      </c>
      <c r="C27">
        <v>0</v>
      </c>
      <c r="D27">
        <v>9.9107917156744302E-2</v>
      </c>
      <c r="E27">
        <v>0</v>
      </c>
      <c r="F27">
        <f t="shared" si="1"/>
        <v>8.4539906660578034E-5</v>
      </c>
      <c r="G27">
        <f t="shared" si="2"/>
        <v>0</v>
      </c>
      <c r="H27">
        <f t="shared" si="3"/>
        <v>9.9107917156744311E-6</v>
      </c>
      <c r="I27">
        <f t="shared" si="4"/>
        <v>0</v>
      </c>
    </row>
    <row r="28" spans="1:9" x14ac:dyDescent="0.2">
      <c r="A28">
        <v>70.400000000000006</v>
      </c>
      <c r="B28">
        <v>0.86106340508611889</v>
      </c>
      <c r="C28">
        <v>0</v>
      </c>
      <c r="D28">
        <v>7.7979856676893097E-2</v>
      </c>
      <c r="E28">
        <v>0</v>
      </c>
      <c r="F28">
        <f t="shared" si="1"/>
        <v>8.6106340508611899E-5</v>
      </c>
      <c r="G28">
        <f t="shared" si="2"/>
        <v>0</v>
      </c>
      <c r="H28">
        <f t="shared" si="3"/>
        <v>7.7979856676893107E-6</v>
      </c>
      <c r="I28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AS210BC</vt:lpstr>
      <vt:lpstr>AS210A</vt:lpstr>
      <vt:lpstr>data summary</vt:lpstr>
      <vt:lpstr>Feuil3</vt:lpstr>
      <vt:lpstr>as210c-csv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2025-02-04T22:17:22Z</dcterms:modified>
</cp:coreProperties>
</file>